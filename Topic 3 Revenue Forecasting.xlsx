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UBHAM\OneDrive\Desktop\THAI SERIES WORLDWIDE DATASET\Topic 3 Revenue Forecasting\"/>
    </mc:Choice>
  </mc:AlternateContent>
  <bookViews>
    <workbookView xWindow="0" yWindow="0" windowWidth="14445" windowHeight="10755" activeTab="2"/>
  </bookViews>
  <sheets>
    <sheet name="Sample Data" sheetId="1" r:id="rId1"/>
    <sheet name="Pivot Chart &amp; Table" sheetId="8" r:id="rId2"/>
    <sheet name="PLATFORM" sheetId="9" r:id="rId3"/>
  </sheets>
  <calcPr calcId="152511"/>
  <pivotCaches>
    <pivotCache cacheId="0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G2" i="1" s="1"/>
  <c r="F3" i="1"/>
  <c r="H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H4" i="1"/>
  <c r="H5" i="1"/>
  <c r="H6" i="1"/>
  <c r="H7" i="1"/>
  <c r="H8" i="1"/>
  <c r="H9" i="1"/>
  <c r="H11" i="1"/>
  <c r="H12" i="1"/>
  <c r="H13" i="1"/>
  <c r="H14" i="1"/>
  <c r="G15" i="1"/>
  <c r="G16" i="1"/>
  <c r="I17" i="1"/>
  <c r="H18" i="1"/>
  <c r="H19" i="1"/>
  <c r="H20" i="1"/>
  <c r="H21" i="1"/>
  <c r="H22" i="1"/>
  <c r="G23" i="1"/>
  <c r="G24" i="1"/>
  <c r="H25" i="1"/>
  <c r="H26" i="1"/>
  <c r="H27" i="1"/>
  <c r="H28" i="1"/>
  <c r="H29" i="1"/>
  <c r="G30" i="1"/>
  <c r="G31" i="1"/>
  <c r="G32" i="1"/>
  <c r="G33" i="1"/>
  <c r="H34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I9" i="1" l="1"/>
  <c r="G28" i="1"/>
  <c r="G20" i="1"/>
  <c r="G12" i="1"/>
  <c r="G4" i="1"/>
  <c r="G5" i="1"/>
  <c r="G10" i="1"/>
  <c r="I33" i="1"/>
  <c r="G34" i="1"/>
  <c r="G26" i="1"/>
  <c r="G18" i="1"/>
  <c r="I27" i="1"/>
  <c r="G25" i="1"/>
  <c r="G17" i="1"/>
  <c r="G9" i="1"/>
  <c r="I25" i="1"/>
  <c r="G8" i="1"/>
  <c r="I19" i="1"/>
  <c r="G7" i="1"/>
  <c r="G22" i="1"/>
  <c r="G14" i="1"/>
  <c r="G6" i="1"/>
  <c r="I3" i="1"/>
  <c r="G27" i="1"/>
  <c r="G19" i="1"/>
  <c r="G11" i="1"/>
  <c r="I11" i="1"/>
  <c r="G29" i="1"/>
  <c r="G21" i="1"/>
  <c r="G13" i="1"/>
  <c r="G3" i="1"/>
  <c r="I24" i="1"/>
  <c r="I23" i="1"/>
  <c r="I14" i="1"/>
  <c r="I29" i="1"/>
  <c r="I5" i="1"/>
  <c r="I28" i="1"/>
  <c r="I20" i="1"/>
  <c r="I12" i="1"/>
  <c r="I4" i="1"/>
  <c r="I16" i="1"/>
  <c r="I31" i="1"/>
  <c r="I15" i="1"/>
  <c r="I30" i="1"/>
  <c r="I6" i="1"/>
  <c r="I13" i="1"/>
  <c r="I32" i="1"/>
  <c r="I8" i="1"/>
  <c r="I7" i="1"/>
  <c r="I22" i="1"/>
  <c r="I21" i="1"/>
  <c r="I34" i="1"/>
  <c r="I26" i="1"/>
  <c r="I18" i="1"/>
  <c r="I10" i="1"/>
  <c r="I2" i="1"/>
  <c r="J12" i="1"/>
  <c r="K12" i="1" s="1"/>
  <c r="L12" i="1" s="1"/>
  <c r="J11" i="1"/>
  <c r="K11" i="1" s="1"/>
  <c r="L11" i="1" s="1"/>
  <c r="J5" i="1"/>
  <c r="K5" i="1" s="1"/>
  <c r="L5" i="1" s="1"/>
  <c r="J4" i="1"/>
  <c r="K4" i="1" s="1"/>
  <c r="L4" i="1" s="1"/>
  <c r="J14" i="1"/>
  <c r="K14" i="1" s="1"/>
  <c r="L14" i="1" s="1"/>
  <c r="J22" i="1"/>
  <c r="K22" i="1" s="1"/>
  <c r="L22" i="1" s="1"/>
  <c r="J27" i="1"/>
  <c r="K27" i="1" s="1"/>
  <c r="L27" i="1" s="1"/>
  <c r="J10" i="1"/>
  <c r="K10" i="1" s="1"/>
  <c r="L10" i="1" s="1"/>
  <c r="J32" i="1"/>
  <c r="K32" i="1" s="1"/>
  <c r="L32" i="1" s="1"/>
  <c r="J21" i="1"/>
  <c r="K21" i="1" s="1"/>
  <c r="L21" i="1" s="1"/>
  <c r="J20" i="1"/>
  <c r="K20" i="1" s="1"/>
  <c r="L20" i="1" s="1"/>
  <c r="J19" i="1"/>
  <c r="K19" i="1" s="1"/>
  <c r="L19" i="1" s="1"/>
  <c r="J3" i="1"/>
  <c r="K3" i="1" s="1"/>
  <c r="L3" i="1" s="1"/>
  <c r="J18" i="1"/>
  <c r="K18" i="1" s="1"/>
  <c r="L18" i="1" s="1"/>
  <c r="J2" i="1"/>
  <c r="K2" i="1" s="1"/>
  <c r="L2" i="1" s="1"/>
  <c r="J17" i="1"/>
  <c r="K17" i="1" s="1"/>
  <c r="L17" i="1" s="1"/>
  <c r="H2" i="1"/>
  <c r="J25" i="1"/>
  <c r="K25" i="1" s="1"/>
  <c r="L25" i="1" s="1"/>
  <c r="J16" i="1"/>
  <c r="K16" i="1" s="1"/>
  <c r="L16" i="1" s="1"/>
  <c r="J7" i="1"/>
  <c r="K7" i="1" s="1"/>
  <c r="L7" i="1" s="1"/>
  <c r="J34" i="1"/>
  <c r="K34" i="1" s="1"/>
  <c r="L34" i="1" s="1"/>
  <c r="J23" i="1"/>
  <c r="K23" i="1" s="1"/>
  <c r="L23" i="1" s="1"/>
  <c r="J31" i="1"/>
  <c r="K31" i="1" s="1"/>
  <c r="L31" i="1" s="1"/>
  <c r="J30" i="1"/>
  <c r="K30" i="1" s="1"/>
  <c r="L30" i="1" s="1"/>
  <c r="J29" i="1"/>
  <c r="K29" i="1" s="1"/>
  <c r="L29" i="1" s="1"/>
  <c r="J9" i="1"/>
  <c r="K9" i="1" s="1"/>
  <c r="L9" i="1" s="1"/>
  <c r="H24" i="1"/>
  <c r="J28" i="1"/>
  <c r="K28" i="1" s="1"/>
  <c r="L28" i="1" s="1"/>
  <c r="J13" i="1"/>
  <c r="K13" i="1" s="1"/>
  <c r="L13" i="1" s="1"/>
  <c r="H23" i="1"/>
  <c r="J26" i="1"/>
  <c r="K26" i="1" s="1"/>
  <c r="L26" i="1" s="1"/>
  <c r="J8" i="1"/>
  <c r="K8" i="1" s="1"/>
  <c r="L8" i="1" s="1"/>
  <c r="J33" i="1"/>
  <c r="K33" i="1" s="1"/>
  <c r="L33" i="1" s="1"/>
  <c r="J24" i="1"/>
  <c r="K24" i="1" s="1"/>
  <c r="L24" i="1" s="1"/>
  <c r="J15" i="1"/>
  <c r="K15" i="1" s="1"/>
  <c r="L15" i="1" s="1"/>
  <c r="J6" i="1"/>
  <c r="K6" i="1" s="1"/>
  <c r="L6" i="1" s="1"/>
  <c r="H33" i="1"/>
  <c r="H17" i="1"/>
  <c r="H32" i="1"/>
  <c r="H16" i="1"/>
  <c r="H31" i="1"/>
  <c r="H15" i="1"/>
  <c r="H30" i="1"/>
  <c r="H10" i="1"/>
</calcChain>
</file>

<file path=xl/sharedStrings.xml><?xml version="1.0" encoding="utf-8"?>
<sst xmlns="http://schemas.openxmlformats.org/spreadsheetml/2006/main" count="59" uniqueCount="38">
  <si>
    <t>Quarter</t>
  </si>
  <si>
    <t>YouTube (THB Mn)</t>
  </si>
  <si>
    <t>TV (THB Mn)</t>
  </si>
  <si>
    <t>OTT (THB Mn)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</si>
  <si>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</si>
  <si>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</si>
  <si>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</si>
  <si>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</si>
  <si>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</si>
  <si>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</si>
  <si>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</si>
  <si>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</si>
  <si>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</si>
  <si>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</si>
  <si>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</si>
  <si>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</si>
  <si>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</si>
  <si>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</si>
  <si>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</si>
  <si>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Row Labels</t>
  </si>
  <si>
    <t>Grand Total</t>
  </si>
  <si>
    <t>Date</t>
  </si>
  <si>
    <t>Total revenue</t>
  </si>
  <si>
    <t>MONTHLY (QUARTERLY) GROWTH RATE</t>
  </si>
  <si>
    <t>Average Growth</t>
  </si>
  <si>
    <t>TV Share</t>
  </si>
  <si>
    <t>YouTube Share</t>
  </si>
  <si>
    <t>OTT Share:</t>
  </si>
  <si>
    <t>Sum of Total revenue</t>
  </si>
  <si>
    <t>2023</t>
  </si>
  <si>
    <t>2024</t>
  </si>
  <si>
    <t>2025</t>
  </si>
  <si>
    <t>2026</t>
  </si>
  <si>
    <t>Forecast next quarter revenue</t>
  </si>
  <si>
    <t>Sum of YouTube Share</t>
  </si>
  <si>
    <t>Sum of TV Share</t>
  </si>
  <si>
    <t>Sum of OTT Share:</t>
  </si>
  <si>
    <t>PLATFORM TOTAL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</si>
</sst>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0000"/>
    <numFmt numFmtId="165" formatCode="0.000000000000"/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1" fillId="0" borderId="5" xfId="0" applyNumberFormat="1" applyFont="1" applyBorder="1" applyAlignment="1">
      <alignment horizontal="center" vertical="center" wrapText="1"/>
    </xf>
    <xf numFmtId="0" fontId="0" fillId="0" borderId="0" xfId="0" applyNumberFormat="1"/>
    <xf numFmtId="10" fontId="1" fillId="0" borderId="5" xfId="0" applyNumberFormat="1" applyFont="1" applyBorder="1" applyAlignment="1">
      <alignment horizontal="center" vertical="center" wrapText="1"/>
    </xf>
    <xf numFmtId="10" fontId="0" fillId="0" borderId="0" xfId="0" applyNumberFormat="1"/>
    <xf numFmtId="9" fontId="1" fillId="0" borderId="5" xfId="0" applyNumberFormat="1" applyFont="1" applyBorder="1" applyAlignment="1">
      <alignment horizontal="center" vertical="center" wrapText="1"/>
    </xf>
    <xf numFmtId="9" fontId="0" fillId="0" borderId="0" xfId="0" applyNumberFormat="1"/>
    <xf numFmtId="1" fontId="1" fillId="0" borderId="5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vertical="center" wrapText="1"/>
    </xf>
    <xf numFmtId="1" fontId="0" fillId="0" borderId="8" xfId="0" applyNumberFormat="1" applyBorder="1" applyAlignment="1">
      <alignment vertical="center" wrapText="1"/>
    </xf>
    <xf numFmtId="1" fontId="0" fillId="0" borderId="0" xfId="0" applyNumberFormat="1"/>
    <xf numFmtId="1" fontId="1" fillId="0" borderId="6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vertical="center" wrapText="1"/>
    </xf>
    <xf numFmtId="1" fontId="0" fillId="0" borderId="9" xfId="0" applyNumberFormat="1" applyBorder="1" applyAlignment="1">
      <alignment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0" fillId="0" borderId="0" xfId="0" applyNumberFormat="1"/>
    <xf numFmtId="165" fontId="1" fillId="0" borderId="5" xfId="0" applyNumberFormat="1" applyFont="1" applyBorder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6">
    <dxf>
      <numFmt numFmtId="164" formatCode="0.0000000000"/>
    </dxf>
    <dxf>
      <numFmt numFmtId="14" formatCode="0.0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65" formatCode="0.000000000000"/>
    </dxf>
    <dxf>
      <numFmt numFmtId="167" formatCode="dd/mm/yyyy"/>
    </dxf>
    <dxf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[Topic 3 Revenue Forecasting.xlsx]Pivot Chart &amp; Table!PivotTable8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 &amp; Table'!$D$3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&amp; Table'!$C$4:$C$8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'Pivot Chart &amp; Table'!$D$4:$D$8</c:f>
              <c:numCache>
                <c:formatCode>General</c:formatCode>
                <c:ptCount val="4"/>
                <c:pt idx="0">
                  <c:v>283</c:v>
                </c:pt>
                <c:pt idx="1">
                  <c:v>1629.8571428571427</c:v>
                </c:pt>
                <c:pt idx="2">
                  <c:v>2619.2142857142835</c:v>
                </c:pt>
                <c:pt idx="3">
                  <c:v>1003.4285714285701</c:v>
                </c:pt>
              </c:numCache>
            </c:numRef>
          </c:val>
        </c:ser>
        <c:ser>
          <c:idx val="1"/>
          <c:order val="1"/>
          <c:tx>
            <c:strRef>
              <c:f>'Pivot Chart &amp; Table'!$E$3</c:f>
              <c:strCache>
                <c:ptCount val="1"/>
                <c:pt idx="0">
                  <c:v>Sum of YouTube Share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&amp; Table'!$C$4:$C$8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'Pivot Chart &amp; Table'!$E$4:$E$8</c:f>
              <c:numCache>
                <c:formatCode>General</c:formatCode>
                <c:ptCount val="4"/>
                <c:pt idx="0">
                  <c:v>0.93622525318725347</c:v>
                </c:pt>
                <c:pt idx="1">
                  <c:v>3.4575284153010011</c:v>
                </c:pt>
                <c:pt idx="2">
                  <c:v>4.0203165390294888</c:v>
                </c:pt>
                <c:pt idx="3">
                  <c:v>1.2697766003214364</c:v>
                </c:pt>
              </c:numCache>
            </c:numRef>
          </c:val>
        </c:ser>
        <c:ser>
          <c:idx val="2"/>
          <c:order val="2"/>
          <c:tx>
            <c:strRef>
              <c:f>'Pivot Chart &amp; Table'!$F$3</c:f>
              <c:strCache>
                <c:ptCount val="1"/>
                <c:pt idx="0">
                  <c:v>Sum of TV Share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&amp; Table'!$C$4:$C$8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'Pivot Chart &amp; Table'!$F$4:$F$8</c:f>
              <c:numCache>
                <c:formatCode>General</c:formatCode>
                <c:ptCount val="4"/>
                <c:pt idx="0">
                  <c:v>2.3722398776622273</c:v>
                </c:pt>
                <c:pt idx="1">
                  <c:v>4.828686912944554</c:v>
                </c:pt>
                <c:pt idx="2">
                  <c:v>4.2545474691345841</c:v>
                </c:pt>
                <c:pt idx="3">
                  <c:v>1.1927777761065561</c:v>
                </c:pt>
              </c:numCache>
            </c:numRef>
          </c:val>
        </c:ser>
        <c:ser>
          <c:idx val="3"/>
          <c:order val="3"/>
          <c:tx>
            <c:strRef>
              <c:f>'Pivot Chart &amp; Table'!$G$3</c:f>
              <c:strCache>
                <c:ptCount val="1"/>
                <c:pt idx="0">
                  <c:v>Sum of OTT Share: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&amp; Table'!$C$4:$C$8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'Pivot Chart &amp; Table'!$G$4:$G$8</c:f>
              <c:numCache>
                <c:formatCode>General</c:formatCode>
                <c:ptCount val="4"/>
                <c:pt idx="0">
                  <c:v>0.69153486915051909</c:v>
                </c:pt>
                <c:pt idx="1">
                  <c:v>3.7137846717544445</c:v>
                </c:pt>
                <c:pt idx="2">
                  <c:v>4.7251359918359261</c:v>
                </c:pt>
                <c:pt idx="3">
                  <c:v>1.5374456235720071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14765280"/>
        <c:axId val="137123880"/>
      </c:barChart>
      <c:catAx>
        <c:axId val="31476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23880"/>
        <c:crosses val="autoZero"/>
        <c:auto val="1"/>
        <c:lblAlgn val="ctr"/>
        <c:lblOffset val="100"/>
        <c:noMultiLvlLbl val="0"/>
      </c:catAx>
      <c:valAx>
        <c:axId val="13712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6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[Topic 3 Revenue Forecasting.xlsx]PLATFORM!PivotTable1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PLATFORM!$B$3</c:f>
              <c:strCache>
                <c:ptCount val="1"/>
                <c:pt idx="0">
                  <c:v>Sum of YouTube Share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PLATFORM!$B$4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PLATFORM!$B$4</c:f>
              <c:numCache>
                <c:formatCode>General</c:formatCode>
                <c:ptCount val="1"/>
                <c:pt idx="0">
                  <c:v>9.6838468078391795</c:v>
                </c:pt>
              </c:numCache>
            </c:numRef>
          </c:val>
        </c:ser>
        <c:ser>
          <c:idx val="1"/>
          <c:order val="1"/>
          <c:tx>
            <c:strRef>
              <c:f>PLATFORM!$C$3</c:f>
              <c:strCache>
                <c:ptCount val="1"/>
                <c:pt idx="0">
                  <c:v>Sum of TV Share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PLATFORM!$B$4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PLATFORM!$C$4</c:f>
              <c:numCache>
                <c:formatCode>General</c:formatCode>
                <c:ptCount val="1"/>
                <c:pt idx="0">
                  <c:v>12.648252035847921</c:v>
                </c:pt>
              </c:numCache>
            </c:numRef>
          </c:val>
        </c:ser>
        <c:ser>
          <c:idx val="2"/>
          <c:order val="2"/>
          <c:tx>
            <c:strRef>
              <c:f>PLATFORM!$D$3</c:f>
              <c:strCache>
                <c:ptCount val="1"/>
                <c:pt idx="0">
                  <c:v>Sum of OTT Share: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PLATFORM!$B$4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PLATFORM!$D$4</c:f>
              <c:numCache>
                <c:formatCode>General</c:formatCode>
                <c:ptCount val="1"/>
                <c:pt idx="0">
                  <c:v>10.667901156312896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381136"/>
        <c:axId val="117386232"/>
      </c:barChart>
      <c:catAx>
        <c:axId val="1173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86232"/>
        <c:crosses val="autoZero"/>
        <c:auto val="1"/>
        <c:lblAlgn val="ctr"/>
        <c:lblOffset val="100"/>
        <c:noMultiLvlLbl val="0"/>
      </c:catAx>
      <c:valAx>
        <c:axId val="11738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8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8</xdr:row>
      <xdr:rowOff>180975</xdr:rowOff>
    </xdr:from>
    <xdr:to>
      <xdr:col>9</xdr:col>
      <xdr:colOff>295275</xdr:colOff>
      <xdr:row>34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147637</xdr:rowOff>
    </xdr:from>
    <xdr:to>
      <xdr:col>6</xdr:col>
      <xdr:colOff>504825</xdr:colOff>
      <xdr:row>28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esh" refreshedDate="46077.692820370372" createdVersion="8" refreshedVersion="8" minRefreshableVersion="3" recordCount="33">
  <cacheSource type="worksheet">
    <worksheetSource name="Table1[[Date]:[OTT Share:]]"/>
  </cacheSource>
  <cacheFields count="8">
    <cacheField name="Date" numFmtId="14">
      <sharedItems containsSemiMixedTypes="0" containsNonDate="0" containsDate="1" containsString="0" minDate="2023-01-01T00:00:00" maxDate="2026-07-02T00:00:00" count="15">
        <d v="2023-01-01T00:00:00"/>
        <d v="2023-04-01T00:00:00"/>
        <d v="2023-07-01T00:00:00"/>
        <d v="2023-10-01T00:00:00"/>
        <d v="2024-01-01T00:00:00"/>
        <d v="2024-04-01T00:00:00"/>
        <d v="2024-07-01T00:00:00"/>
        <d v="2024-10-01T00:00:00"/>
        <d v="2025-01-01T00:00:00"/>
        <d v="2025-04-01T00:00:00"/>
        <d v="2025-07-01T00:00:00"/>
        <d v="2025-10-01T00:00:00"/>
        <d v="2026-01-01T00:00:00"/>
        <d v="2026-04-01T00:00:00"/>
        <d v="2026-07-01T00:00:00"/>
      </sharedItems>
      <fieldGroup par="7"/>
    </cacheField>
    <cacheField name="Total revenue" numFmtId="165">
      <sharedItems containsSemiMixedTypes="0" containsString="0" containsNumber="1" minValue="60" maxValue="270.3095238095234"/>
    </cacheField>
    <cacheField name="YouTube Share" numFmtId="10">
      <sharedItems containsSemiMixedTypes="0" containsString="0" containsNumber="1" minValue="0.2" maxValue="0.31995948207522273"/>
    </cacheField>
    <cacheField name="TV Share" numFmtId="0">
      <sharedItems containsSemiMixedTypes="0" containsString="0" containsNumber="1" minValue="0.28926274993393863" maxValue="0.66666666666666663"/>
    </cacheField>
    <cacheField name="OTT Share:" numFmtId="10">
      <sharedItems containsSemiMixedTypes="0" containsString="0" containsNumber="1" minValue="0.13333333333333333" maxValue="0.39077776799083858"/>
    </cacheField>
    <cacheField name="Months (Date)" numFmtId="0" databaseField="0">
      <fieldGroup base="0">
        <rangePr groupBy="months" startDate="2023-01-01T00:00:00" endDate="2026-07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6"/>
        </groupItems>
      </fieldGroup>
    </cacheField>
    <cacheField name="Quarters (Date)" numFmtId="0" databaseField="0">
      <fieldGroup base="0">
        <rangePr groupBy="quarters" startDate="2023-01-01T00:00:00" endDate="2026-07-02T00:00:00"/>
        <groupItems count="6">
          <s v="&lt;01-01-2023"/>
          <s v="Qtr1"/>
          <s v="Qtr2"/>
          <s v="Qtr3"/>
          <s v="Qtr4"/>
          <s v="&gt;02-07-2026"/>
        </groupItems>
      </fieldGroup>
    </cacheField>
    <cacheField name="Years (Date)" numFmtId="0" databaseField="0">
      <fieldGroup base="0">
        <rangePr groupBy="years" startDate="2023-01-01T00:00:00" endDate="2026-07-02T00:00:00"/>
        <groupItems count="6">
          <s v="&lt;01-01-2023"/>
          <s v="2023"/>
          <s v="2024"/>
          <s v="2025"/>
          <s v="2026"/>
          <s v="&gt;02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ubham Panchal" refreshedDate="46078.516949999997" createdVersion="5" refreshedVersion="5" minRefreshableVersion="3" recordCount="33">
  <cacheSource type="worksheet">
    <worksheetSource name="Table1"/>
  </cacheSource>
  <cacheFields count="12">
    <cacheField name="Quarter" numFmtId="0">
      <sharedItems/>
    </cacheField>
    <cacheField name="YouTube (THB Mn)" numFmtId="1">
      <sharedItems containsSemiMixedTypes="0" containsString="0" containsNumber="1" minValue="12" maxValue="86.488095238095198"/>
    </cacheField>
    <cacheField name="TV (THB Mn)" numFmtId="1">
      <sharedItems containsSemiMixedTypes="0" containsString="0" containsNumber="1" minValue="39" maxValue="78.190476190476204"/>
    </cacheField>
    <cacheField name="OTT (THB Mn)" numFmtId="1">
      <sharedItems containsSemiMixedTypes="0" containsString="0" containsNumber="1" minValue="8" maxValue="105.630952380952"/>
    </cacheField>
    <cacheField name="Date" numFmtId="14">
      <sharedItems containsSemiMixedTypes="0" containsNonDate="0" containsDate="1" containsString="0" minDate="2023-01-01T00:00:00" maxDate="2026-07-02T00:00:00"/>
    </cacheField>
    <cacheField name="Total revenue" numFmtId="165">
      <sharedItems containsSemiMixedTypes="0" containsString="0" containsNumber="1" minValue="60" maxValue="270.3095238095234"/>
    </cacheField>
    <cacheField name="YouTube Share" numFmtId="10">
      <sharedItems containsSemiMixedTypes="0" containsString="0" containsNumber="1" minValue="0.2" maxValue="0.31995948207522273"/>
    </cacheField>
    <cacheField name="TV Share" numFmtId="0">
      <sharedItems containsSemiMixedTypes="0" containsString="0" containsNumber="1" minValue="0.28926274993393863" maxValue="0.66666666666666663"/>
    </cacheField>
    <cacheField name="OTT Share:" numFmtId="10">
      <sharedItems containsSemiMixedTypes="0" containsString="0" containsNumber="1" minValue="0.13333333333333333" maxValue="0.39077776799083858"/>
    </cacheField>
    <cacheField name="MONTHLY (QUARTERLY) GROWTH RATE" numFmtId="9">
      <sharedItems containsSemiMixedTypes="0" containsString="0" containsNumber="1" minValue="3.5981678851404568E-2" maxValue="0.19718309859154928"/>
    </cacheField>
    <cacheField name="Average Growth" numFmtId="10">
      <sharedItems containsSemiMixedTypes="0" containsString="0" containsNumber="1" minValue="3.5981678851404568E-2" maxValue="0.19718309859154928"/>
    </cacheField>
    <cacheField name="Forecast next quarter revenue" numFmtId="164">
      <sharedItems containsSemiMixedTypes="0" containsString="0" containsNumber="1" minValue="47704.582089552234" maxValue="54002.535211267605" count="29">
        <n v="50168.483333333337"/>
        <n v="47704.582089552234"/>
        <n v="54002.535211267605"/>
        <n v="49985.882352941182"/>
        <n v="50592.127659574471"/>
        <n v="48840.752380952377"/>
        <n v="51510.371681415927"/>
        <n v="47752.761160714261"/>
        <n v="48575.951366702146"/>
        <n v="48451.093587091476"/>
        <n v="48353.573554487681"/>
        <n v="48279.566732269115"/>
        <n v="48224.220831040184"/>
        <n v="48224.220831040162"/>
        <n v="48182.450335439331"/>
        <n v="48155.045949288811"/>
        <n v="50349.158238653181"/>
        <n v="48087.661043444255"/>
        <n v="48059.448113790968"/>
        <n v="48043.654323894734"/>
        <n v="48038.707649966294"/>
        <n v="48042.268084420662"/>
        <n v="47753.180071893941"/>
        <n v="47755.202405885837"/>
        <n v="47765.662362382936"/>
        <n v="47783.659935818345"/>
        <n v="47807.395928245947"/>
        <n v="47834.153136278481"/>
        <n v="47866.4974896502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n v="60"/>
    <n v="0.2"/>
    <n v="0.66666666666666663"/>
    <n v="0.13333333333333333"/>
  </r>
  <r>
    <x v="1"/>
    <n v="67"/>
    <n v="0.22388059701492538"/>
    <n v="0.62686567164179108"/>
    <n v="0.14925373134328357"/>
  </r>
  <r>
    <x v="2"/>
    <n v="71"/>
    <n v="0.25352112676056338"/>
    <n v="0.54929577464788737"/>
    <n v="0.19718309859154928"/>
  </r>
  <r>
    <x v="3"/>
    <n v="85"/>
    <n v="0.25882352941176473"/>
    <n v="0.52941176470588236"/>
    <n v="0.21176470588235294"/>
  </r>
  <r>
    <x v="4"/>
    <n v="94"/>
    <n v="0.26595744680851063"/>
    <n v="0.5"/>
    <n v="0.23404255319148937"/>
  </r>
  <r>
    <x v="5"/>
    <n v="105"/>
    <n v="0.26666666666666666"/>
    <n v="0.47619047619047616"/>
    <n v="0.25714285714285712"/>
  </r>
  <r>
    <x v="6"/>
    <n v="113"/>
    <n v="0.2831858407079646"/>
    <n v="0.4247787610619469"/>
    <n v="0.29203539823008851"/>
  </r>
  <r>
    <x v="7"/>
    <n v="128"/>
    <n v="0.28125"/>
    <n v="0.40625"/>
    <n v="0.3125"/>
  </r>
  <r>
    <x v="4"/>
    <n v="134.14285714285708"/>
    <n v="0.28940362087326904"/>
    <n v="0.39776357827476083"/>
    <n v="0.31283280085197024"/>
  </r>
  <r>
    <x v="5"/>
    <n v="143.86904761904751"/>
    <n v="0.29350434422838201"/>
    <n v="0.38320231692180434"/>
    <n v="0.32329333884981365"/>
  </r>
  <r>
    <x v="6"/>
    <n v="153.5952380952381"/>
    <n v="0.29708572314369874"/>
    <n v="0.37048519609362884"/>
    <n v="0.33242908076267241"/>
  </r>
  <r>
    <x v="7"/>
    <n v="163.32142857142861"/>
    <n v="0.30024054231357972"/>
    <n v="0.35928274655587178"/>
    <n v="0.34047671113054845"/>
  </r>
  <r>
    <x v="8"/>
    <n v="173.04761904761909"/>
    <n v="0.30304072647220687"/>
    <n v="0.34933957072096883"/>
    <n v="0.3476197028068243"/>
  </r>
  <r>
    <x v="4"/>
    <n v="134.14285714285708"/>
    <n v="0.28940362087326904"/>
    <n v="0.39776357827476083"/>
    <n v="0.31283280085197024"/>
  </r>
  <r>
    <x v="5"/>
    <n v="143.86904761904751"/>
    <n v="0.29350434422838201"/>
    <n v="0.38320231692180434"/>
    <n v="0.32329333884981365"/>
  </r>
  <r>
    <x v="6"/>
    <n v="153.5952380952381"/>
    <n v="0.29708572314369874"/>
    <n v="0.37048519609362884"/>
    <n v="0.33242908076267241"/>
  </r>
  <r>
    <x v="7"/>
    <n v="163.32142857142861"/>
    <n v="0.30024054231357972"/>
    <n v="0.35928274655587178"/>
    <n v="0.34047671113054845"/>
  </r>
  <r>
    <x v="8"/>
    <n v="173.04761904761909"/>
    <n v="0.30304072647220687"/>
    <n v="0.34933957072096883"/>
    <n v="0.3476197028068243"/>
  </r>
  <r>
    <x v="9"/>
    <n v="182.77380952380952"/>
    <n v="0.3055428906402658"/>
    <n v="0.34045463427343203"/>
    <n v="0.35400247508630212"/>
  </r>
  <r>
    <x v="10"/>
    <n v="192.5"/>
    <n v="0.30779220779220778"/>
    <n v="0.33246753246753247"/>
    <n v="0.35974025974025975"/>
  </r>
  <r>
    <x v="11"/>
    <n v="202.22619047619048"/>
    <n v="0.30982516041678926"/>
    <n v="0.32524871960911322"/>
    <n v="0.36492611997409757"/>
  </r>
  <r>
    <x v="8"/>
    <n v="182.77380952380912"/>
    <n v="0.30554289064026591"/>
    <n v="0.34045463427343226"/>
    <n v="0.35400247508630173"/>
  </r>
  <r>
    <x v="9"/>
    <n v="192.49999999999949"/>
    <n v="0.30779220779220812"/>
    <n v="0.33246753246753286"/>
    <n v="0.35974025974025914"/>
  </r>
  <r>
    <x v="10"/>
    <n v="202.22619047618991"/>
    <n v="0.30982516041678965"/>
    <n v="0.32524871960911317"/>
    <n v="0.36492611997409713"/>
  </r>
  <r>
    <x v="11"/>
    <n v="211.95238095238031"/>
    <n v="0.31167153448663265"/>
    <n v="0.31869242866771536"/>
    <n v="0.36963603684565194"/>
  </r>
  <r>
    <x v="12"/>
    <n v="221.67857142857071"/>
    <n v="0.31335588851296969"/>
    <n v="0.31271145480908674"/>
    <n v="0.37393265667794345"/>
  </r>
  <r>
    <x v="8"/>
    <n v="211.95238095238099"/>
    <n v="0.3116715344866321"/>
    <n v="0.3186924286677153"/>
    <n v="0.3696360368456526"/>
  </r>
  <r>
    <x v="9"/>
    <n v="221.67857142857139"/>
    <n v="0.31335588851296919"/>
    <n v="0.31271145480908669"/>
    <n v="0.37393265667794412"/>
  </r>
  <r>
    <x v="10"/>
    <n v="231.40476190476193"/>
    <n v="0.31489865212470408"/>
    <n v="0.30723325445004629"/>
    <n v="0.37786809342524952"/>
  </r>
  <r>
    <x v="11"/>
    <n v="241.13095238095229"/>
    <n v="0.316316958775611"/>
    <n v="0.30219698839792647"/>
    <n v="0.38148605282646258"/>
  </r>
  <r>
    <x v="12"/>
    <n v="250.85714285714292"/>
    <n v="0.3176252847380408"/>
    <n v="0.29755125284738054"/>
    <n v="0.3848234624145786"/>
  </r>
  <r>
    <x v="13"/>
    <n v="260.58333333333303"/>
    <n v="0.31883594499520329"/>
    <n v="0.29325231851615013"/>
    <n v="0.38791173648864646"/>
  </r>
  <r>
    <x v="14"/>
    <n v="270.3095238095234"/>
    <n v="0.31995948207522273"/>
    <n v="0.28926274993393863"/>
    <n v="0.390777767990838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">
  <r>
    <s v="Q1 2023"/>
    <n v="12"/>
    <n v="40"/>
    <n v="8"/>
    <d v="2023-01-01T00:00:00"/>
    <n v="60"/>
    <n v="0.2"/>
    <n v="0.66666666666666663"/>
    <n v="0.13333333333333333"/>
    <n v="0.11666666666666667"/>
    <n v="0.11666666666666667"/>
    <x v="0"/>
  </r>
  <r>
    <s v="Q2 2023"/>
    <n v="15"/>
    <n v="42"/>
    <n v="10"/>
    <d v="2023-04-01T00:00:00"/>
    <n v="67"/>
    <n v="0.22388059701492538"/>
    <n v="0.62686567164179108"/>
    <n v="0.14925373134328357"/>
    <n v="5.9701492537313432E-2"/>
    <n v="5.9701492537313432E-2"/>
    <x v="1"/>
  </r>
  <r>
    <s v="Q3 2023"/>
    <n v="18"/>
    <n v="39"/>
    <n v="14"/>
    <d v="2023-07-01T00:00:00"/>
    <n v="71"/>
    <n v="0.25352112676056338"/>
    <n v="0.54929577464788737"/>
    <n v="0.19718309859154928"/>
    <n v="0.19718309859154928"/>
    <n v="0.19718309859154928"/>
    <x v="2"/>
  </r>
  <r>
    <s v="Q4 2023"/>
    <n v="22"/>
    <n v="45"/>
    <n v="18"/>
    <d v="2023-10-01T00:00:00"/>
    <n v="85"/>
    <n v="0.25882352941176473"/>
    <n v="0.52941176470588236"/>
    <n v="0.21176470588235294"/>
    <n v="0.10588235294117647"/>
    <n v="0.10588235294117647"/>
    <x v="3"/>
  </r>
  <r>
    <s v="Q1 2024"/>
    <n v="25"/>
    <n v="47"/>
    <n v="22"/>
    <d v="2024-01-01T00:00:00"/>
    <n v="94"/>
    <n v="0.26595744680851063"/>
    <n v="0.5"/>
    <n v="0.23404255319148937"/>
    <n v="0.11702127659574468"/>
    <n v="0.11702127659574468"/>
    <x v="4"/>
  </r>
  <r>
    <s v="Q2 2024"/>
    <n v="28"/>
    <n v="50"/>
    <n v="27"/>
    <d v="2024-04-01T00:00:00"/>
    <n v="105"/>
    <n v="0.26666666666666666"/>
    <n v="0.47619047619047616"/>
    <n v="0.25714285714285712"/>
    <n v="7.6190476190476197E-2"/>
    <n v="7.6190476190476197E-2"/>
    <x v="5"/>
  </r>
  <r>
    <s v="Q3 2024"/>
    <n v="32"/>
    <n v="48"/>
    <n v="33"/>
    <d v="2024-07-01T00:00:00"/>
    <n v="113"/>
    <n v="0.2831858407079646"/>
    <n v="0.4247787610619469"/>
    <n v="0.29203539823008851"/>
    <n v="0.13274336283185842"/>
    <n v="0.13274336283185842"/>
    <x v="6"/>
  </r>
  <r>
    <s v="Q4 2024"/>
    <n v="36"/>
    <n v="52"/>
    <n v="40"/>
    <d v="2024-10-01T00:00:00"/>
    <n v="128"/>
    <n v="0.28125"/>
    <n v="0.40625"/>
    <n v="0.3125"/>
    <n v="4.7991071428570953E-2"/>
    <n v="4.7991071428570953E-2"/>
    <x v="7"/>
  </r>
  <r>
    <s v="Q1 2024"/>
    <n v="38.821428571428498"/>
    <n v="53.357142857142897"/>
    <n v="41.964285714285701"/>
    <d v="2024-01-01T00:00:00"/>
    <n v="134.14285714285708"/>
    <n v="0.28940362087326904"/>
    <n v="0.39776357827476083"/>
    <n v="0.31283280085197024"/>
    <n v="7.250621228256976E-2"/>
    <n v="7.250621228256976E-2"/>
    <x v="8"/>
  </r>
  <r>
    <s v="Q2 2024"/>
    <n v="42.226190476190403"/>
    <n v="55.130952380952401"/>
    <n v="46.511904761904702"/>
    <d v="2024-04-01T00:00:00"/>
    <n v="143.86904761904751"/>
    <n v="0.29350434422838201"/>
    <n v="0.38320231692180434"/>
    <n v="0.32329333884981365"/>
    <n v="6.7604468349194091E-2"/>
    <n v="6.7604468349194091E-2"/>
    <x v="9"/>
  </r>
  <r>
    <s v="Q3 2024"/>
    <n v="45.630952380952401"/>
    <n v="56.904761904761898"/>
    <n v="51.059523809523803"/>
    <d v="2024-07-01T00:00:00"/>
    <n v="153.5952380952381"/>
    <n v="0.29708572314369874"/>
    <n v="0.37048519609362884"/>
    <n v="0.33242908076267241"/>
    <n v="6.3323515733994945E-2"/>
    <n v="6.3323515733994945E-2"/>
    <x v="10"/>
  </r>
  <r>
    <s v="Q4 2024"/>
    <n v="49.035714285714299"/>
    <n v="58.678571428571502"/>
    <n v="55.607142857142797"/>
    <d v="2024-10-01T00:00:00"/>
    <n v="163.32142857142861"/>
    <n v="0.30024054231357972"/>
    <n v="0.35928274655587178"/>
    <n v="0.34047671113054845"/>
    <n v="5.9552445513521415E-2"/>
    <n v="5.9552445513521415E-2"/>
    <x v="11"/>
  </r>
  <r>
    <s v="Q1 2025"/>
    <n v="52.440476190476197"/>
    <n v="60.452380952380999"/>
    <n v="60.154761904761898"/>
    <d v="2025-01-01T00:00:00"/>
    <n v="173.04761904761909"/>
    <n v="0.30304072647220687"/>
    <n v="0.34933957072096883"/>
    <n v="0.3476197028068243"/>
    <n v="5.620528343423227E-2"/>
    <n v="5.620528343423227E-2"/>
    <x v="12"/>
  </r>
  <r>
    <s v="Q1 2024"/>
    <n v="38.821428571428498"/>
    <n v="53.357142857142897"/>
    <n v="41.964285714285701"/>
    <d v="2024-01-01T00:00:00"/>
    <n v="134.14285714285708"/>
    <n v="0.28940362087326904"/>
    <n v="0.39776357827476083"/>
    <n v="0.31283280085197024"/>
    <n v="7.250621228256976E-2"/>
    <n v="7.250621228256976E-2"/>
    <x v="8"/>
  </r>
  <r>
    <s v="Q2 2024"/>
    <n v="42.226190476190403"/>
    <n v="55.130952380952401"/>
    <n v="46.511904761904702"/>
    <d v="2024-04-01T00:00:00"/>
    <n v="143.86904761904751"/>
    <n v="0.29350434422838201"/>
    <n v="0.38320231692180434"/>
    <n v="0.32329333884981365"/>
    <n v="6.7604468349194091E-2"/>
    <n v="6.7604468349194091E-2"/>
    <x v="9"/>
  </r>
  <r>
    <s v="Q3 2024"/>
    <n v="45.630952380952401"/>
    <n v="56.904761904761898"/>
    <n v="51.059523809523803"/>
    <d v="2024-07-01T00:00:00"/>
    <n v="153.5952380952381"/>
    <n v="0.29708572314369874"/>
    <n v="0.37048519609362884"/>
    <n v="0.33242908076267241"/>
    <n v="6.3323515733994945E-2"/>
    <n v="6.3323515733994945E-2"/>
    <x v="10"/>
  </r>
  <r>
    <s v="Q4 2024"/>
    <n v="49.035714285714299"/>
    <n v="58.678571428571502"/>
    <n v="55.607142857142797"/>
    <d v="2024-10-01T00:00:00"/>
    <n v="163.32142857142861"/>
    <n v="0.30024054231357972"/>
    <n v="0.35928274655587178"/>
    <n v="0.34047671113054845"/>
    <n v="5.9552445513521415E-2"/>
    <n v="5.9552445513521415E-2"/>
    <x v="11"/>
  </r>
  <r>
    <s v="Q1 2025"/>
    <n v="52.440476190476197"/>
    <n v="60.452380952380999"/>
    <n v="60.154761904761898"/>
    <d v="2025-01-01T00:00:00"/>
    <n v="173.04761904761909"/>
    <n v="0.30304072647220687"/>
    <n v="0.34933957072096883"/>
    <n v="0.3476197028068243"/>
    <n v="5.6205283434231937E-2"/>
    <n v="5.6205283434231937E-2"/>
    <x v="13"/>
  </r>
  <r>
    <s v="Q2 2025"/>
    <n v="55.845238095238102"/>
    <n v="62.226190476190503"/>
    <n v="64.702380952380906"/>
    <d v="2025-04-01T00:00:00"/>
    <n v="182.77380952380952"/>
    <n v="0.3055428906402658"/>
    <n v="0.34045463427343203"/>
    <n v="0.35400247508630212"/>
    <n v="5.3214355500553666E-2"/>
    <n v="5.3214355500553666E-2"/>
    <x v="14"/>
  </r>
  <r>
    <s v="Q3 2025"/>
    <n v="59.25"/>
    <n v="64"/>
    <n v="69.25"/>
    <d v="2025-07-01T00:00:00"/>
    <n v="192.5"/>
    <n v="0.30779220779220778"/>
    <n v="0.33246753246753247"/>
    <n v="0.35974025974025975"/>
    <n v="5.0525664811379128E-2"/>
    <n v="5.0525664811379128E-2"/>
    <x v="15"/>
  </r>
  <r>
    <s v="Q4 2025"/>
    <n v="62.654761904761898"/>
    <n v="65.773809523809604"/>
    <n v="73.797619047618994"/>
    <d v="2025-10-01T00:00:00"/>
    <n v="202.22619047619048"/>
    <n v="0.30982516041678926"/>
    <n v="0.32524871960911322"/>
    <n v="0.36492611997409757"/>
    <n v="9.6191205039149602E-2"/>
    <n v="9.6191205039149602E-2"/>
    <x v="16"/>
  </r>
  <r>
    <s v="Q1 2025"/>
    <n v="55.845238095238003"/>
    <n v="62.226190476190403"/>
    <n v="64.702380952380693"/>
    <d v="2025-01-01T00:00:00"/>
    <n v="182.77380952380912"/>
    <n v="0.30554289064026591"/>
    <n v="0.34045463427343226"/>
    <n v="0.35400247508630173"/>
    <n v="5.3214355500553159E-2"/>
    <n v="5.3214355500553159E-2"/>
    <x v="17"/>
  </r>
  <r>
    <s v="Q2 2025"/>
    <n v="59.249999999999901"/>
    <n v="63.999999999999901"/>
    <n v="69.249999999999702"/>
    <d v="2025-04-01T00:00:00"/>
    <n v="192.49999999999949"/>
    <n v="0.30779220779220812"/>
    <n v="0.33246753246753286"/>
    <n v="0.35974025974025914"/>
    <n v="5.0525664811378962E-2"/>
    <n v="5.0525664811378962E-2"/>
    <x v="18"/>
  </r>
  <r>
    <s v="Q3 2025"/>
    <n v="62.654761904761799"/>
    <n v="65.773809523809405"/>
    <n v="73.797619047618696"/>
    <d v="2025-07-01T00:00:00"/>
    <n v="202.22619047618991"/>
    <n v="0.30982516041678965"/>
    <n v="0.32524871960911317"/>
    <n v="0.36492611997409713"/>
    <n v="4.8095602519573531E-2"/>
    <n v="4.8095602519573531E-2"/>
    <x v="19"/>
  </r>
  <r>
    <s v="Q4 2025"/>
    <n v="66.059523809523697"/>
    <n v="67.547619047618895"/>
    <n v="78.345238095237704"/>
    <d v="2025-10-01T00:00:00"/>
    <n v="211.95238095238031"/>
    <n v="0.31167153448663265"/>
    <n v="0.31869242866771536"/>
    <n v="0.36963603684565194"/>
    <n v="4.5888564367557616E-2"/>
    <n v="4.5888564367557616E-2"/>
    <x v="20"/>
  </r>
  <r>
    <s v="Q1 2026"/>
    <n v="69.464285714285595"/>
    <n v="69.321428571428399"/>
    <n v="82.892857142856698"/>
    <d v="2026-01-01T00:00:00"/>
    <n v="221.67857142857071"/>
    <n v="0.31335588851296969"/>
    <n v="0.31271145480908674"/>
    <n v="0.37393265667794345"/>
    <n v="4.3875194672678086E-2"/>
    <n v="4.3875194672678086E-2"/>
    <x v="21"/>
  </r>
  <r>
    <s v="Q1 2025"/>
    <n v="66.059523809523796"/>
    <n v="67.547619047619094"/>
    <n v="78.345238095238102"/>
    <d v="2025-01-01T00:00:00"/>
    <n v="211.95238095238099"/>
    <n v="0.3116715344866321"/>
    <n v="0.3186924286677153"/>
    <n v="0.3696360368456526"/>
    <n v="4.588856436755747E-2"/>
    <n v="4.588856436755747E-2"/>
    <x v="22"/>
  </r>
  <r>
    <s v="Q2 2025"/>
    <n v="69.464285714285694"/>
    <n v="69.321428571428598"/>
    <n v="82.892857142857096"/>
    <d v="2025-04-01T00:00:00"/>
    <n v="221.67857142857139"/>
    <n v="0.31335588851296919"/>
    <n v="0.31271145480908669"/>
    <n v="0.37393265667794412"/>
    <n v="4.3875194672681674E-2"/>
    <n v="4.3875194672681674E-2"/>
    <x v="23"/>
  </r>
  <r>
    <s v="Q3 2025"/>
    <n v="72.869047619047606"/>
    <n v="71.095238095238102"/>
    <n v="87.440476190476204"/>
    <d v="2025-07-01T00:00:00"/>
    <n v="231.40476190476193"/>
    <n v="0.31489865212470408"/>
    <n v="0.30723325445004629"/>
    <n v="0.37786809342524952"/>
    <n v="4.2031073155673983E-2"/>
    <n v="4.2031073155673983E-2"/>
    <x v="24"/>
  </r>
  <r>
    <s v="Q4 2025"/>
    <n v="76.273809523809504"/>
    <n v="72.869047619047606"/>
    <n v="91.988095238095198"/>
    <d v="2025-10-01T00:00:00"/>
    <n v="241.13095238095229"/>
    <n v="0.316316958775611"/>
    <n v="0.30219698839792647"/>
    <n v="0.38148605282646258"/>
    <n v="4.0335719575414104E-2"/>
    <n v="4.0335719575414104E-2"/>
    <x v="25"/>
  </r>
  <r>
    <s v="Q1 2026"/>
    <n v="79.678571428571402"/>
    <n v="74.642857142857196"/>
    <n v="96.535714285714306"/>
    <d v="2026-01-01T00:00:00"/>
    <n v="250.85714285714292"/>
    <n v="0.3176252847380408"/>
    <n v="0.29755125284738054"/>
    <n v="0.3848234624145786"/>
    <n v="3.8771829916475382E-2"/>
    <n v="3.8771829916475382E-2"/>
    <x v="26"/>
  </r>
  <r>
    <s v="Q2 2026"/>
    <n v="83.0833333333333"/>
    <n v="76.4166666666667"/>
    <n v="101.083333333333"/>
    <d v="2026-04-01T00:00:00"/>
    <n v="260.58333333333303"/>
    <n v="0.31883594499520329"/>
    <n v="0.29325231851615013"/>
    <n v="0.38791173648864646"/>
    <n v="3.7324683631047184E-2"/>
    <n v="3.7324683631047184E-2"/>
    <x v="27"/>
  </r>
  <r>
    <s v="Q3 2026"/>
    <n v="86.488095238095198"/>
    <n v="78.190476190476204"/>
    <n v="105.630952380952"/>
    <d v="2026-07-01T00:00:00"/>
    <n v="270.3095238095234"/>
    <n v="0.31995948207522273"/>
    <n v="0.28926274993393863"/>
    <n v="0.39077776799083858"/>
    <n v="3.5981678851404568E-2"/>
    <n v="3.5981678851404568E-2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3:G8" firstHeaderRow="0" firstDataRow="1" firstDataCol="1"/>
  <pivotFields count="8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numFmtId="165" showAll="0"/>
    <pivotField dataField="1" numFmtId="10" showAll="0"/>
    <pivotField dataField="1" showAll="0"/>
    <pivotField dataField="1" numFmtId="10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7"/>
    <field x="6"/>
    <field x="5"/>
    <field x="0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revenue" fld="1" baseField="0" baseItem="0"/>
    <dataField name="Sum of YouTube Share" fld="2" baseField="0" baseItem="0"/>
    <dataField name="Sum of TV Share" fld="3" baseField="0" baseItem="0"/>
    <dataField name="Sum of OTT Share: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B3:D4" firstHeaderRow="0" firstDataRow="1" firstDataCol="0"/>
  <pivotFields count="12">
    <pivotField showAll="0"/>
    <pivotField numFmtId="1" showAll="0"/>
    <pivotField numFmtId="1" showAll="0"/>
    <pivotField numFmtId="1" showAll="0"/>
    <pivotField numFmtId="14" showAll="0"/>
    <pivotField numFmtId="165" showAll="0"/>
    <pivotField dataField="1" numFmtId="10" showAll="0"/>
    <pivotField dataField="1" showAll="0"/>
    <pivotField dataField="1" numFmtId="10" showAll="0"/>
    <pivotField numFmtId="9" showAll="0"/>
    <pivotField numFmtId="10" showAll="0"/>
    <pivotField numFmtId="164" showAll="0">
      <items count="30">
        <item x="1"/>
        <item x="7"/>
        <item x="22"/>
        <item x="23"/>
        <item x="24"/>
        <item x="25"/>
        <item x="26"/>
        <item x="27"/>
        <item x="28"/>
        <item x="20"/>
        <item x="21"/>
        <item x="19"/>
        <item x="18"/>
        <item x="17"/>
        <item x="15"/>
        <item x="14"/>
        <item x="13"/>
        <item x="12"/>
        <item x="11"/>
        <item x="10"/>
        <item x="9"/>
        <item x="8"/>
        <item x="5"/>
        <item x="3"/>
        <item x="0"/>
        <item x="16"/>
        <item x="4"/>
        <item x="6"/>
        <item x="2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YouTube Share" fld="6" baseField="0" baseItem="0"/>
    <dataField name="Sum of TV Share" fld="7" baseField="0" baseItem="0"/>
    <dataField name="Sum of OTT Share: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34" totalsRowShown="0" headerRowDxfId="15" headerRowBorderDxfId="14" tableBorderDxfId="13" totalsRowBorderDxfId="12">
  <autoFilter ref="A1:L34"/>
  <tableColumns count="12">
    <tableColumn id="1" name="Quarter" dataDxfId="11"/>
    <tableColumn id="2" name="YouTube (THB Mn)" dataDxfId="10"/>
    <tableColumn id="3" name="TV (THB Mn)" dataDxfId="9"/>
    <tableColumn id="4" name="OTT (THB Mn)" dataDxfId="8"/>
    <tableColumn id="7" name="Date" dataDxfId="7">
      <calculatedColumnFormula>DATE(RIGHT(A2,4),(MID(A2,2,1)-1)*3+1,1)</calculatedColumnFormula>
    </tableColumn>
    <tableColumn id="8" name="Total revenue" dataDxfId="6">
      <calculatedColumnFormula>B2+C2+D2</calculatedColumnFormula>
    </tableColumn>
    <tableColumn id="9" name="YouTube Share" dataDxfId="5">
      <calculatedColumnFormula>B2/F2</calculatedColumnFormula>
    </tableColumn>
    <tableColumn id="10" name="TV Share" dataDxfId="4">
      <calculatedColumnFormula>C2/F2</calculatedColumnFormula>
    </tableColumn>
    <tableColumn id="14" name="OTT Share:" dataDxfId="3">
      <calculatedColumnFormula>D2/F2</calculatedColumnFormula>
    </tableColumn>
    <tableColumn id="11" name="MONTHLY (QUARTERLY) GROWTH RATE" dataDxfId="2">
      <calculatedColumnFormula>(F3 - F2) / F2</calculatedColumnFormula>
    </tableColumn>
    <tableColumn id="12" name="Average Growth" dataDxfId="1">
      <calculatedColumnFormula>AVERAGE(Table1[[#This Row],[MONTHLY (QUARTERLY) GROWTH RATE]])</calculatedColumnFormula>
    </tableColumn>
    <tableColumn id="15" name="Forecast next quarter revenue" dataDxfId="0">
      <calculatedColumnFormula>E2*(1+K2)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M15" sqref="M15"/>
    </sheetView>
  </sheetViews>
  <sheetFormatPr defaultRowHeight="15" x14ac:dyDescent="0.25"/>
  <cols>
    <col min="1" max="1" width="18.7109375" customWidth="1"/>
    <col min="2" max="2" width="19.7109375" style="16" customWidth="1"/>
    <col min="3" max="3" width="18.42578125" style="16" customWidth="1"/>
    <col min="4" max="4" width="21.5703125" style="16" customWidth="1"/>
    <col min="5" max="5" width="12.140625" style="6" bestFit="1" customWidth="1"/>
    <col min="6" max="6" width="19.5703125" style="23" bestFit="1" customWidth="1"/>
    <col min="7" max="7" width="16.5703125" style="10" customWidth="1"/>
    <col min="8" max="8" width="13.28515625" style="10" bestFit="1" customWidth="1"/>
    <col min="9" max="9" width="13.28515625" style="10" customWidth="1"/>
    <col min="10" max="10" width="25.5703125" style="12" bestFit="1" customWidth="1"/>
    <col min="11" max="11" width="12.140625" style="10" bestFit="1" customWidth="1"/>
    <col min="12" max="12" width="18.5703125" style="21" bestFit="1" customWidth="1"/>
    <col min="13" max="13" width="23.140625" bestFit="1" customWidth="1"/>
    <col min="14" max="14" width="17.85546875" bestFit="1" customWidth="1"/>
  </cols>
  <sheetData>
    <row r="1" spans="1:12" ht="35.1" customHeight="1" x14ac:dyDescent="0.25">
      <c r="A1" s="2" t="s">
        <v>0</v>
      </c>
      <c r="B1" s="13" t="s">
        <v>1</v>
      </c>
      <c r="C1" s="13" t="s">
        <v>2</v>
      </c>
      <c r="D1" s="17" t="s">
        <v>3</v>
      </c>
      <c r="E1" s="7" t="s">
        <v>21</v>
      </c>
      <c r="F1" s="22" t="s">
        <v>22</v>
      </c>
      <c r="G1" s="9" t="s">
        <v>26</v>
      </c>
      <c r="H1" s="9" t="s">
        <v>25</v>
      </c>
      <c r="I1" s="9" t="s">
        <v>27</v>
      </c>
      <c r="J1" s="11" t="s">
        <v>23</v>
      </c>
      <c r="K1" s="9" t="s">
        <v>24</v>
      </c>
      <c r="L1" s="20" t="s">
        <v>33</v>
      </c>
    </row>
    <row r="2" spans="1:12" x14ac:dyDescent="0.25">
      <c r="A2" s="1" t="s">
        <v>4</v>
      </c>
      <c r="B2" s="14">
        <v>12</v>
      </c>
      <c r="C2" s="14">
        <v>40</v>
      </c>
      <c r="D2" s="18">
        <v>8</v>
      </c>
      <c r="E2" s="6">
        <f t="shared" ref="E2:E34" si="0">DATE(RIGHT(A2,4),(MID(A2,2,1)-1)*3+1,1)</f>
        <v>44927</v>
      </c>
      <c r="F2" s="23">
        <f t="shared" ref="F2:F34" si="1">B2+C2+D2</f>
        <v>60</v>
      </c>
      <c r="G2" s="10">
        <f>B2/F2</f>
        <v>0.2</v>
      </c>
      <c r="H2" s="10">
        <f>C2/F2</f>
        <v>0.66666666666666663</v>
      </c>
      <c r="I2" s="10">
        <f t="shared" ref="I2:I34" si="2">D2/F2</f>
        <v>0.13333333333333333</v>
      </c>
      <c r="J2" s="12">
        <f t="shared" ref="J2:J13" si="3">(F3 - F2) / F2</f>
        <v>0.11666666666666667</v>
      </c>
      <c r="K2" s="10">
        <f>AVERAGE(Table1[[#This Row],[MONTHLY (QUARTERLY) GROWTH RATE]])</f>
        <v>0.11666666666666667</v>
      </c>
      <c r="L2" s="21">
        <f>E2*(1+K2)</f>
        <v>50168.483333333337</v>
      </c>
    </row>
    <row r="3" spans="1:12" x14ac:dyDescent="0.25">
      <c r="A3" s="1" t="s">
        <v>5</v>
      </c>
      <c r="B3" s="14">
        <v>15</v>
      </c>
      <c r="C3" s="14">
        <v>42</v>
      </c>
      <c r="D3" s="18">
        <v>10</v>
      </c>
      <c r="E3" s="6">
        <f t="shared" si="0"/>
        <v>45017</v>
      </c>
      <c r="F3" s="23">
        <f t="shared" si="1"/>
        <v>67</v>
      </c>
      <c r="G3" s="10">
        <f t="shared" ref="G3:G34" si="4">B3/F3</f>
        <v>0.22388059701492538</v>
      </c>
      <c r="H3" s="10">
        <f t="shared" ref="H3:H34" si="5">C3/F3</f>
        <v>0.62686567164179108</v>
      </c>
      <c r="I3" s="10">
        <f t="shared" si="2"/>
        <v>0.14925373134328357</v>
      </c>
      <c r="J3" s="12">
        <f t="shared" si="3"/>
        <v>5.9701492537313432E-2</v>
      </c>
      <c r="K3" s="10">
        <f>AVERAGE(Table1[[#This Row],[MONTHLY (QUARTERLY) GROWTH RATE]])</f>
        <v>5.9701492537313432E-2</v>
      </c>
      <c r="L3" s="21">
        <f t="shared" ref="L3:L34" si="6">E3*(1+K3)</f>
        <v>47704.582089552234</v>
      </c>
    </row>
    <row r="4" spans="1:12" x14ac:dyDescent="0.25">
      <c r="A4" s="1" t="s">
        <v>6</v>
      </c>
      <c r="B4" s="14">
        <v>18</v>
      </c>
      <c r="C4" s="14">
        <v>39</v>
      </c>
      <c r="D4" s="18">
        <v>14</v>
      </c>
      <c r="E4" s="6">
        <f t="shared" si="0"/>
        <v>45108</v>
      </c>
      <c r="F4" s="23">
        <f t="shared" si="1"/>
        <v>71</v>
      </c>
      <c r="G4" s="10">
        <f t="shared" si="4"/>
        <v>0.25352112676056338</v>
      </c>
      <c r="H4" s="10">
        <f t="shared" si="5"/>
        <v>0.54929577464788737</v>
      </c>
      <c r="I4" s="10">
        <f t="shared" si="2"/>
        <v>0.19718309859154928</v>
      </c>
      <c r="J4" s="12">
        <f t="shared" si="3"/>
        <v>0.19718309859154928</v>
      </c>
      <c r="K4" s="10">
        <f>AVERAGE(Table1[[#This Row],[MONTHLY (QUARTERLY) GROWTH RATE]])</f>
        <v>0.19718309859154928</v>
      </c>
      <c r="L4" s="21">
        <f t="shared" si="6"/>
        <v>54002.535211267605</v>
      </c>
    </row>
    <row r="5" spans="1:12" x14ac:dyDescent="0.25">
      <c r="A5" s="1" t="s">
        <v>7</v>
      </c>
      <c r="B5" s="14">
        <v>22</v>
      </c>
      <c r="C5" s="14">
        <v>45</v>
      </c>
      <c r="D5" s="18">
        <v>18</v>
      </c>
      <c r="E5" s="6">
        <f t="shared" si="0"/>
        <v>45200</v>
      </c>
      <c r="F5" s="23">
        <f t="shared" si="1"/>
        <v>85</v>
      </c>
      <c r="G5" s="10">
        <f t="shared" si="4"/>
        <v>0.25882352941176473</v>
      </c>
      <c r="H5" s="10">
        <f t="shared" si="5"/>
        <v>0.52941176470588236</v>
      </c>
      <c r="I5" s="10">
        <f t="shared" si="2"/>
        <v>0.21176470588235294</v>
      </c>
      <c r="J5" s="12">
        <f t="shared" si="3"/>
        <v>0.10588235294117647</v>
      </c>
      <c r="K5" s="10">
        <f>AVERAGE(Table1[[#This Row],[MONTHLY (QUARTERLY) GROWTH RATE]])</f>
        <v>0.10588235294117647</v>
      </c>
      <c r="L5" s="21">
        <f t="shared" si="6"/>
        <v>49985.882352941182</v>
      </c>
    </row>
    <row r="6" spans="1:12" x14ac:dyDescent="0.25">
      <c r="A6" s="1" t="s">
        <v>8</v>
      </c>
      <c r="B6" s="14">
        <v>25</v>
      </c>
      <c r="C6" s="14">
        <v>47</v>
      </c>
      <c r="D6" s="18">
        <v>22</v>
      </c>
      <c r="E6" s="6">
        <f t="shared" si="0"/>
        <v>45292</v>
      </c>
      <c r="F6" s="23">
        <f t="shared" si="1"/>
        <v>94</v>
      </c>
      <c r="G6" s="10">
        <f t="shared" si="4"/>
        <v>0.26595744680851063</v>
      </c>
      <c r="H6" s="10">
        <f t="shared" si="5"/>
        <v>0.5</v>
      </c>
      <c r="I6" s="10">
        <f t="shared" si="2"/>
        <v>0.23404255319148937</v>
      </c>
      <c r="J6" s="12">
        <f t="shared" si="3"/>
        <v>0.11702127659574468</v>
      </c>
      <c r="K6" s="10">
        <f>AVERAGE(Table1[[#This Row],[MONTHLY (QUARTERLY) GROWTH RATE]])</f>
        <v>0.11702127659574468</v>
      </c>
      <c r="L6" s="21">
        <f t="shared" si="6"/>
        <v>50592.127659574471</v>
      </c>
    </row>
    <row r="7" spans="1:12" x14ac:dyDescent="0.25">
      <c r="A7" s="1" t="s">
        <v>9</v>
      </c>
      <c r="B7" s="14">
        <v>28</v>
      </c>
      <c r="C7" s="14">
        <v>50</v>
      </c>
      <c r="D7" s="18">
        <v>27</v>
      </c>
      <c r="E7" s="6">
        <f t="shared" si="0"/>
        <v>45383</v>
      </c>
      <c r="F7" s="23">
        <f t="shared" si="1"/>
        <v>105</v>
      </c>
      <c r="G7" s="10">
        <f t="shared" si="4"/>
        <v>0.26666666666666666</v>
      </c>
      <c r="H7" s="10">
        <f t="shared" si="5"/>
        <v>0.47619047619047616</v>
      </c>
      <c r="I7" s="10">
        <f t="shared" si="2"/>
        <v>0.25714285714285712</v>
      </c>
      <c r="J7" s="12">
        <f t="shared" si="3"/>
        <v>7.6190476190476197E-2</v>
      </c>
      <c r="K7" s="10">
        <f>AVERAGE(Table1[[#This Row],[MONTHLY (QUARTERLY) GROWTH RATE]])</f>
        <v>7.6190476190476197E-2</v>
      </c>
      <c r="L7" s="21">
        <f t="shared" si="6"/>
        <v>48840.752380952377</v>
      </c>
    </row>
    <row r="8" spans="1:12" x14ac:dyDescent="0.25">
      <c r="A8" s="1" t="s">
        <v>10</v>
      </c>
      <c r="B8" s="14">
        <v>32</v>
      </c>
      <c r="C8" s="14">
        <v>48</v>
      </c>
      <c r="D8" s="18">
        <v>33</v>
      </c>
      <c r="E8" s="6">
        <f t="shared" si="0"/>
        <v>45474</v>
      </c>
      <c r="F8" s="23">
        <f t="shared" si="1"/>
        <v>113</v>
      </c>
      <c r="G8" s="10">
        <f t="shared" si="4"/>
        <v>0.2831858407079646</v>
      </c>
      <c r="H8" s="10">
        <f t="shared" si="5"/>
        <v>0.4247787610619469</v>
      </c>
      <c r="I8" s="10">
        <f t="shared" si="2"/>
        <v>0.29203539823008851</v>
      </c>
      <c r="J8" s="12">
        <f t="shared" si="3"/>
        <v>0.13274336283185842</v>
      </c>
      <c r="K8" s="10">
        <f>AVERAGE(Table1[[#This Row],[MONTHLY (QUARTERLY) GROWTH RATE]])</f>
        <v>0.13274336283185842</v>
      </c>
      <c r="L8" s="21">
        <f t="shared" si="6"/>
        <v>51510.371681415927</v>
      </c>
    </row>
    <row r="9" spans="1:12" x14ac:dyDescent="0.25">
      <c r="A9" s="1" t="s">
        <v>11</v>
      </c>
      <c r="B9" s="14">
        <v>36</v>
      </c>
      <c r="C9" s="14">
        <v>52</v>
      </c>
      <c r="D9" s="18">
        <v>40</v>
      </c>
      <c r="E9" s="6">
        <f t="shared" si="0"/>
        <v>45566</v>
      </c>
      <c r="F9" s="23">
        <f t="shared" si="1"/>
        <v>128</v>
      </c>
      <c r="G9" s="10">
        <f t="shared" si="4"/>
        <v>0.28125</v>
      </c>
      <c r="H9" s="10">
        <f t="shared" si="5"/>
        <v>0.40625</v>
      </c>
      <c r="I9" s="10">
        <f t="shared" si="2"/>
        <v>0.3125</v>
      </c>
      <c r="J9" s="12">
        <f t="shared" si="3"/>
        <v>4.7991071428570953E-2</v>
      </c>
      <c r="K9" s="10">
        <f>AVERAGE(Table1[[#This Row],[MONTHLY (QUARTERLY) GROWTH RATE]])</f>
        <v>4.7991071428570953E-2</v>
      </c>
      <c r="L9" s="21">
        <f t="shared" si="6"/>
        <v>47752.761160714261</v>
      </c>
    </row>
    <row r="10" spans="1:12" x14ac:dyDescent="0.25">
      <c r="A10" s="1" t="s">
        <v>8</v>
      </c>
      <c r="B10" s="14">
        <v>38.821428571428498</v>
      </c>
      <c r="C10" s="14">
        <v>53.357142857142897</v>
      </c>
      <c r="D10" s="18">
        <v>41.964285714285701</v>
      </c>
      <c r="E10" s="6">
        <f t="shared" si="0"/>
        <v>45292</v>
      </c>
      <c r="F10" s="23">
        <f t="shared" si="1"/>
        <v>134.14285714285708</v>
      </c>
      <c r="G10" s="10">
        <f t="shared" si="4"/>
        <v>0.28940362087326904</v>
      </c>
      <c r="H10" s="10">
        <f t="shared" si="5"/>
        <v>0.39776357827476083</v>
      </c>
      <c r="I10" s="10">
        <f t="shared" si="2"/>
        <v>0.31283280085197024</v>
      </c>
      <c r="J10" s="12">
        <f t="shared" si="3"/>
        <v>7.250621228256976E-2</v>
      </c>
      <c r="K10" s="10">
        <f>AVERAGE(Table1[[#This Row],[MONTHLY (QUARTERLY) GROWTH RATE]])</f>
        <v>7.250621228256976E-2</v>
      </c>
      <c r="L10" s="21">
        <f t="shared" si="6"/>
        <v>48575.951366702146</v>
      </c>
    </row>
    <row r="11" spans="1:12" x14ac:dyDescent="0.25">
      <c r="A11" s="1" t="s">
        <v>9</v>
      </c>
      <c r="B11" s="14">
        <v>42.226190476190403</v>
      </c>
      <c r="C11" s="14">
        <v>55.130952380952401</v>
      </c>
      <c r="D11" s="18">
        <v>46.511904761904702</v>
      </c>
      <c r="E11" s="6">
        <f t="shared" si="0"/>
        <v>45383</v>
      </c>
      <c r="F11" s="23">
        <f t="shared" si="1"/>
        <v>143.86904761904751</v>
      </c>
      <c r="G11" s="10">
        <f t="shared" si="4"/>
        <v>0.29350434422838201</v>
      </c>
      <c r="H11" s="10">
        <f t="shared" si="5"/>
        <v>0.38320231692180434</v>
      </c>
      <c r="I11" s="10">
        <f t="shared" si="2"/>
        <v>0.32329333884981365</v>
      </c>
      <c r="J11" s="12">
        <f t="shared" si="3"/>
        <v>6.7604468349194091E-2</v>
      </c>
      <c r="K11" s="10">
        <f>AVERAGE(Table1[[#This Row],[MONTHLY (QUARTERLY) GROWTH RATE]])</f>
        <v>6.7604468349194091E-2</v>
      </c>
      <c r="L11" s="21">
        <f t="shared" si="6"/>
        <v>48451.093587091476</v>
      </c>
    </row>
    <row r="12" spans="1:12" x14ac:dyDescent="0.25">
      <c r="A12" s="1" t="s">
        <v>10</v>
      </c>
      <c r="B12" s="14">
        <v>45.630952380952401</v>
      </c>
      <c r="C12" s="14">
        <v>56.904761904761898</v>
      </c>
      <c r="D12" s="18">
        <v>51.059523809523803</v>
      </c>
      <c r="E12" s="6">
        <f t="shared" si="0"/>
        <v>45474</v>
      </c>
      <c r="F12" s="23">
        <f t="shared" si="1"/>
        <v>153.5952380952381</v>
      </c>
      <c r="G12" s="10">
        <f t="shared" si="4"/>
        <v>0.29708572314369874</v>
      </c>
      <c r="H12" s="10">
        <f t="shared" si="5"/>
        <v>0.37048519609362884</v>
      </c>
      <c r="I12" s="10">
        <f t="shared" si="2"/>
        <v>0.33242908076267241</v>
      </c>
      <c r="J12" s="12">
        <f t="shared" si="3"/>
        <v>6.3323515733994945E-2</v>
      </c>
      <c r="K12" s="10">
        <f>AVERAGE(Table1[[#This Row],[MONTHLY (QUARTERLY) GROWTH RATE]])</f>
        <v>6.3323515733994945E-2</v>
      </c>
      <c r="L12" s="21">
        <f t="shared" si="6"/>
        <v>48353.573554487681</v>
      </c>
    </row>
    <row r="13" spans="1:12" x14ac:dyDescent="0.25">
      <c r="A13" s="1" t="s">
        <v>11</v>
      </c>
      <c r="B13" s="14">
        <v>49.035714285714299</v>
      </c>
      <c r="C13" s="14">
        <v>58.678571428571502</v>
      </c>
      <c r="D13" s="18">
        <v>55.607142857142797</v>
      </c>
      <c r="E13" s="6">
        <f t="shared" si="0"/>
        <v>45566</v>
      </c>
      <c r="F13" s="23">
        <f t="shared" si="1"/>
        <v>163.32142857142861</v>
      </c>
      <c r="G13" s="10">
        <f t="shared" si="4"/>
        <v>0.30024054231357972</v>
      </c>
      <c r="H13" s="10">
        <f t="shared" si="5"/>
        <v>0.35928274655587178</v>
      </c>
      <c r="I13" s="10">
        <f t="shared" si="2"/>
        <v>0.34047671113054845</v>
      </c>
      <c r="J13" s="12">
        <f t="shared" si="3"/>
        <v>5.9552445513521415E-2</v>
      </c>
      <c r="K13" s="10">
        <f>AVERAGE(Table1[[#This Row],[MONTHLY (QUARTERLY) GROWTH RATE]])</f>
        <v>5.9552445513521415E-2</v>
      </c>
      <c r="L13" s="21">
        <f t="shared" si="6"/>
        <v>48279.566732269115</v>
      </c>
    </row>
    <row r="14" spans="1:12" x14ac:dyDescent="0.25">
      <c r="A14" s="1" t="s">
        <v>12</v>
      </c>
      <c r="B14" s="14">
        <v>52.440476190476197</v>
      </c>
      <c r="C14" s="14">
        <v>60.452380952380999</v>
      </c>
      <c r="D14" s="18">
        <v>60.154761904761898</v>
      </c>
      <c r="E14" s="6">
        <f t="shared" si="0"/>
        <v>45658</v>
      </c>
      <c r="F14" s="23">
        <f t="shared" si="1"/>
        <v>173.04761904761909</v>
      </c>
      <c r="G14" s="10">
        <f t="shared" si="4"/>
        <v>0.30304072647220687</v>
      </c>
      <c r="H14" s="10">
        <f t="shared" si="5"/>
        <v>0.34933957072096883</v>
      </c>
      <c r="I14" s="10">
        <f t="shared" si="2"/>
        <v>0.3476197028068243</v>
      </c>
      <c r="J14" s="12">
        <f>(F14 - F13) / F14</f>
        <v>5.620528343423227E-2</v>
      </c>
      <c r="K14" s="10">
        <f>AVERAGE(Table1[[#This Row],[MONTHLY (QUARTERLY) GROWTH RATE]])</f>
        <v>5.620528343423227E-2</v>
      </c>
      <c r="L14" s="21">
        <f t="shared" si="6"/>
        <v>48224.220831040184</v>
      </c>
    </row>
    <row r="15" spans="1:12" x14ac:dyDescent="0.25">
      <c r="A15" s="1" t="s">
        <v>8</v>
      </c>
      <c r="B15" s="14">
        <v>38.821428571428498</v>
      </c>
      <c r="C15" s="14">
        <v>53.357142857142897</v>
      </c>
      <c r="D15" s="18">
        <v>41.964285714285701</v>
      </c>
      <c r="E15" s="6">
        <f t="shared" si="0"/>
        <v>45292</v>
      </c>
      <c r="F15" s="23">
        <f t="shared" si="1"/>
        <v>134.14285714285708</v>
      </c>
      <c r="G15" s="10">
        <f t="shared" si="4"/>
        <v>0.28940362087326904</v>
      </c>
      <c r="H15" s="10">
        <f t="shared" si="5"/>
        <v>0.39776357827476083</v>
      </c>
      <c r="I15" s="10">
        <f t="shared" si="2"/>
        <v>0.31283280085197024</v>
      </c>
      <c r="J15" s="12">
        <f t="shared" ref="J15:J21" si="7">(F16 - F15) / F15</f>
        <v>7.250621228256976E-2</v>
      </c>
      <c r="K15" s="10">
        <f>AVERAGE(Table1[[#This Row],[MONTHLY (QUARTERLY) GROWTH RATE]])</f>
        <v>7.250621228256976E-2</v>
      </c>
      <c r="L15" s="21">
        <f t="shared" si="6"/>
        <v>48575.951366702146</v>
      </c>
    </row>
    <row r="16" spans="1:12" x14ac:dyDescent="0.25">
      <c r="A16" s="1" t="s">
        <v>9</v>
      </c>
      <c r="B16" s="14">
        <v>42.226190476190403</v>
      </c>
      <c r="C16" s="14">
        <v>55.130952380952401</v>
      </c>
      <c r="D16" s="18">
        <v>46.511904761904702</v>
      </c>
      <c r="E16" s="6">
        <f t="shared" si="0"/>
        <v>45383</v>
      </c>
      <c r="F16" s="23">
        <f t="shared" si="1"/>
        <v>143.86904761904751</v>
      </c>
      <c r="G16" s="10">
        <f t="shared" si="4"/>
        <v>0.29350434422838201</v>
      </c>
      <c r="H16" s="10">
        <f t="shared" si="5"/>
        <v>0.38320231692180434</v>
      </c>
      <c r="I16" s="10">
        <f t="shared" si="2"/>
        <v>0.32329333884981365</v>
      </c>
      <c r="J16" s="12">
        <f t="shared" si="7"/>
        <v>6.7604468349194091E-2</v>
      </c>
      <c r="K16" s="10">
        <f>AVERAGE(Table1[[#This Row],[MONTHLY (QUARTERLY) GROWTH RATE]])</f>
        <v>6.7604468349194091E-2</v>
      </c>
      <c r="L16" s="21">
        <f t="shared" si="6"/>
        <v>48451.093587091476</v>
      </c>
    </row>
    <row r="17" spans="1:12" x14ac:dyDescent="0.25">
      <c r="A17" s="1" t="s">
        <v>10</v>
      </c>
      <c r="B17" s="14">
        <v>45.630952380952401</v>
      </c>
      <c r="C17" s="14">
        <v>56.904761904761898</v>
      </c>
      <c r="D17" s="18">
        <v>51.059523809523803</v>
      </c>
      <c r="E17" s="6">
        <f t="shared" si="0"/>
        <v>45474</v>
      </c>
      <c r="F17" s="23">
        <f t="shared" si="1"/>
        <v>153.5952380952381</v>
      </c>
      <c r="G17" s="10">
        <f t="shared" si="4"/>
        <v>0.29708572314369874</v>
      </c>
      <c r="H17" s="10">
        <f t="shared" si="5"/>
        <v>0.37048519609362884</v>
      </c>
      <c r="I17" s="10">
        <f t="shared" si="2"/>
        <v>0.33242908076267241</v>
      </c>
      <c r="J17" s="12">
        <f t="shared" si="7"/>
        <v>6.3323515733994945E-2</v>
      </c>
      <c r="K17" s="10">
        <f>AVERAGE(Table1[[#This Row],[MONTHLY (QUARTERLY) GROWTH RATE]])</f>
        <v>6.3323515733994945E-2</v>
      </c>
      <c r="L17" s="21">
        <f t="shared" si="6"/>
        <v>48353.573554487681</v>
      </c>
    </row>
    <row r="18" spans="1:12" x14ac:dyDescent="0.25">
      <c r="A18" s="1" t="s">
        <v>11</v>
      </c>
      <c r="B18" s="14">
        <v>49.035714285714299</v>
      </c>
      <c r="C18" s="14">
        <v>58.678571428571502</v>
      </c>
      <c r="D18" s="18">
        <v>55.607142857142797</v>
      </c>
      <c r="E18" s="6">
        <f t="shared" si="0"/>
        <v>45566</v>
      </c>
      <c r="F18" s="23">
        <f t="shared" si="1"/>
        <v>163.32142857142861</v>
      </c>
      <c r="G18" s="10">
        <f t="shared" si="4"/>
        <v>0.30024054231357972</v>
      </c>
      <c r="H18" s="10">
        <f t="shared" si="5"/>
        <v>0.35928274655587178</v>
      </c>
      <c r="I18" s="10">
        <f t="shared" si="2"/>
        <v>0.34047671113054845</v>
      </c>
      <c r="J18" s="12">
        <f t="shared" si="7"/>
        <v>5.9552445513521415E-2</v>
      </c>
      <c r="K18" s="10">
        <f>AVERAGE(Table1[[#This Row],[MONTHLY (QUARTERLY) GROWTH RATE]])</f>
        <v>5.9552445513521415E-2</v>
      </c>
      <c r="L18" s="21">
        <f t="shared" si="6"/>
        <v>48279.566732269115</v>
      </c>
    </row>
    <row r="19" spans="1:12" x14ac:dyDescent="0.25">
      <c r="A19" s="1" t="s">
        <v>12</v>
      </c>
      <c r="B19" s="14">
        <v>52.440476190476197</v>
      </c>
      <c r="C19" s="14">
        <v>60.452380952380999</v>
      </c>
      <c r="D19" s="18">
        <v>60.154761904761898</v>
      </c>
      <c r="E19" s="6">
        <f t="shared" si="0"/>
        <v>45658</v>
      </c>
      <c r="F19" s="23">
        <f t="shared" si="1"/>
        <v>173.04761904761909</v>
      </c>
      <c r="G19" s="10">
        <f t="shared" si="4"/>
        <v>0.30304072647220687</v>
      </c>
      <c r="H19" s="10">
        <f t="shared" si="5"/>
        <v>0.34933957072096883</v>
      </c>
      <c r="I19" s="10">
        <f t="shared" si="2"/>
        <v>0.3476197028068243</v>
      </c>
      <c r="J19" s="12">
        <f t="shared" si="7"/>
        <v>5.6205283434231937E-2</v>
      </c>
      <c r="K19" s="10">
        <f>AVERAGE(Table1[[#This Row],[MONTHLY (QUARTERLY) GROWTH RATE]])</f>
        <v>5.6205283434231937E-2</v>
      </c>
      <c r="L19" s="21">
        <f t="shared" si="6"/>
        <v>48224.220831040162</v>
      </c>
    </row>
    <row r="20" spans="1:12" x14ac:dyDescent="0.25">
      <c r="A20" s="1" t="s">
        <v>13</v>
      </c>
      <c r="B20" s="14">
        <v>55.845238095238102</v>
      </c>
      <c r="C20" s="14">
        <v>62.226190476190503</v>
      </c>
      <c r="D20" s="18">
        <v>64.702380952380906</v>
      </c>
      <c r="E20" s="6">
        <f t="shared" si="0"/>
        <v>45748</v>
      </c>
      <c r="F20" s="23">
        <f t="shared" si="1"/>
        <v>182.77380952380952</v>
      </c>
      <c r="G20" s="10">
        <f t="shared" si="4"/>
        <v>0.3055428906402658</v>
      </c>
      <c r="H20" s="10">
        <f t="shared" si="5"/>
        <v>0.34045463427343203</v>
      </c>
      <c r="I20" s="10">
        <f t="shared" si="2"/>
        <v>0.35400247508630212</v>
      </c>
      <c r="J20" s="12">
        <f t="shared" si="7"/>
        <v>5.3214355500553666E-2</v>
      </c>
      <c r="K20" s="10">
        <f>AVERAGE(Table1[[#This Row],[MONTHLY (QUARTERLY) GROWTH RATE]])</f>
        <v>5.3214355500553666E-2</v>
      </c>
      <c r="L20" s="21">
        <f t="shared" si="6"/>
        <v>48182.450335439331</v>
      </c>
    </row>
    <row r="21" spans="1:12" x14ac:dyDescent="0.25">
      <c r="A21" s="1" t="s">
        <v>14</v>
      </c>
      <c r="B21" s="14">
        <v>59.25</v>
      </c>
      <c r="C21" s="14">
        <v>64</v>
      </c>
      <c r="D21" s="18">
        <v>69.25</v>
      </c>
      <c r="E21" s="6">
        <f t="shared" si="0"/>
        <v>45839</v>
      </c>
      <c r="F21" s="23">
        <f t="shared" si="1"/>
        <v>192.5</v>
      </c>
      <c r="G21" s="10">
        <f t="shared" si="4"/>
        <v>0.30779220779220778</v>
      </c>
      <c r="H21" s="10">
        <f t="shared" si="5"/>
        <v>0.33246753246753247</v>
      </c>
      <c r="I21" s="10">
        <f t="shared" si="2"/>
        <v>0.35974025974025975</v>
      </c>
      <c r="J21" s="12">
        <f t="shared" si="7"/>
        <v>5.0525664811379128E-2</v>
      </c>
      <c r="K21" s="10">
        <f>AVERAGE(Table1[[#This Row],[MONTHLY (QUARTERLY) GROWTH RATE]])</f>
        <v>5.0525664811379128E-2</v>
      </c>
      <c r="L21" s="21">
        <f t="shared" si="6"/>
        <v>48155.045949288811</v>
      </c>
    </row>
    <row r="22" spans="1:12" x14ac:dyDescent="0.25">
      <c r="A22" s="1" t="s">
        <v>15</v>
      </c>
      <c r="B22" s="14">
        <v>62.654761904761898</v>
      </c>
      <c r="C22" s="14">
        <v>65.773809523809604</v>
      </c>
      <c r="D22" s="18">
        <v>73.797619047618994</v>
      </c>
      <c r="E22" s="6">
        <f t="shared" si="0"/>
        <v>45931</v>
      </c>
      <c r="F22" s="23">
        <f t="shared" si="1"/>
        <v>202.22619047619048</v>
      </c>
      <c r="G22" s="10">
        <f t="shared" si="4"/>
        <v>0.30982516041678926</v>
      </c>
      <c r="H22" s="10">
        <f t="shared" si="5"/>
        <v>0.32524871960911322</v>
      </c>
      <c r="I22" s="10">
        <f t="shared" si="2"/>
        <v>0.36492611997409757</v>
      </c>
      <c r="J22" s="12">
        <f>(F22- F23) / F22</f>
        <v>9.6191205039149602E-2</v>
      </c>
      <c r="K22" s="10">
        <f>AVERAGE(Table1[[#This Row],[MONTHLY (QUARTERLY) GROWTH RATE]])</f>
        <v>9.6191205039149602E-2</v>
      </c>
      <c r="L22" s="21">
        <f t="shared" si="6"/>
        <v>50349.158238653181</v>
      </c>
    </row>
    <row r="23" spans="1:12" x14ac:dyDescent="0.25">
      <c r="A23" s="1" t="s">
        <v>12</v>
      </c>
      <c r="B23" s="14">
        <v>55.845238095238003</v>
      </c>
      <c r="C23" s="14">
        <v>62.226190476190403</v>
      </c>
      <c r="D23" s="18">
        <v>64.702380952380693</v>
      </c>
      <c r="E23" s="6">
        <f t="shared" si="0"/>
        <v>45658</v>
      </c>
      <c r="F23" s="23">
        <f t="shared" si="1"/>
        <v>182.77380952380912</v>
      </c>
      <c r="G23" s="10">
        <f t="shared" si="4"/>
        <v>0.30554289064026591</v>
      </c>
      <c r="H23" s="10">
        <f t="shared" si="5"/>
        <v>0.34045463427343226</v>
      </c>
      <c r="I23" s="10">
        <f t="shared" si="2"/>
        <v>0.35400247508630173</v>
      </c>
      <c r="J23" s="12">
        <f>(F24 - F23) / F23</f>
        <v>5.3214355500553159E-2</v>
      </c>
      <c r="K23" s="10">
        <f>AVERAGE(Table1[[#This Row],[MONTHLY (QUARTERLY) GROWTH RATE]])</f>
        <v>5.3214355500553159E-2</v>
      </c>
      <c r="L23" s="21">
        <f t="shared" si="6"/>
        <v>48087.661043444255</v>
      </c>
    </row>
    <row r="24" spans="1:12" x14ac:dyDescent="0.25">
      <c r="A24" s="1" t="s">
        <v>13</v>
      </c>
      <c r="B24" s="14">
        <v>59.249999999999901</v>
      </c>
      <c r="C24" s="14">
        <v>63.999999999999901</v>
      </c>
      <c r="D24" s="18">
        <v>69.249999999999702</v>
      </c>
      <c r="E24" s="6">
        <f t="shared" si="0"/>
        <v>45748</v>
      </c>
      <c r="F24" s="23">
        <f t="shared" si="1"/>
        <v>192.49999999999949</v>
      </c>
      <c r="G24" s="10">
        <f t="shared" si="4"/>
        <v>0.30779220779220812</v>
      </c>
      <c r="H24" s="10">
        <f t="shared" si="5"/>
        <v>0.33246753246753286</v>
      </c>
      <c r="I24" s="10">
        <f t="shared" si="2"/>
        <v>0.35974025974025914</v>
      </c>
      <c r="J24" s="12">
        <f>(F25 - F24) / F24</f>
        <v>5.0525664811378962E-2</v>
      </c>
      <c r="K24" s="10">
        <f>AVERAGE(Table1[[#This Row],[MONTHLY (QUARTERLY) GROWTH RATE]])</f>
        <v>5.0525664811378962E-2</v>
      </c>
      <c r="L24" s="21">
        <f t="shared" si="6"/>
        <v>48059.448113790968</v>
      </c>
    </row>
    <row r="25" spans="1:12" x14ac:dyDescent="0.25">
      <c r="A25" s="1" t="s">
        <v>14</v>
      </c>
      <c r="B25" s="14">
        <v>62.654761904761799</v>
      </c>
      <c r="C25" s="14">
        <v>65.773809523809405</v>
      </c>
      <c r="D25" s="18">
        <v>73.797619047618696</v>
      </c>
      <c r="E25" s="6">
        <f t="shared" si="0"/>
        <v>45839</v>
      </c>
      <c r="F25" s="23">
        <f t="shared" si="1"/>
        <v>202.22619047618991</v>
      </c>
      <c r="G25" s="10">
        <f t="shared" si="4"/>
        <v>0.30982516041678965</v>
      </c>
      <c r="H25" s="10">
        <f t="shared" si="5"/>
        <v>0.32524871960911317</v>
      </c>
      <c r="I25" s="10">
        <f t="shared" si="2"/>
        <v>0.36492611997409713</v>
      </c>
      <c r="J25" s="12">
        <f>(F26 - F25) / F25</f>
        <v>4.8095602519573531E-2</v>
      </c>
      <c r="K25" s="10">
        <f>AVERAGE(Table1[[#This Row],[MONTHLY (QUARTERLY) GROWTH RATE]])</f>
        <v>4.8095602519573531E-2</v>
      </c>
      <c r="L25" s="21">
        <f t="shared" si="6"/>
        <v>48043.654323894734</v>
      </c>
    </row>
    <row r="26" spans="1:12" x14ac:dyDescent="0.25">
      <c r="A26" s="1" t="s">
        <v>15</v>
      </c>
      <c r="B26" s="14">
        <v>66.059523809523697</v>
      </c>
      <c r="C26" s="14">
        <v>67.547619047618895</v>
      </c>
      <c r="D26" s="18">
        <v>78.345238095237704</v>
      </c>
      <c r="E26" s="6">
        <f t="shared" si="0"/>
        <v>45931</v>
      </c>
      <c r="F26" s="23">
        <f t="shared" si="1"/>
        <v>211.95238095238031</v>
      </c>
      <c r="G26" s="10">
        <f t="shared" si="4"/>
        <v>0.31167153448663265</v>
      </c>
      <c r="H26" s="10">
        <f t="shared" si="5"/>
        <v>0.31869242866771536</v>
      </c>
      <c r="I26" s="10">
        <f t="shared" si="2"/>
        <v>0.36963603684565194</v>
      </c>
      <c r="J26" s="12">
        <f>(F27 - F26) / F26</f>
        <v>4.5888564367557616E-2</v>
      </c>
      <c r="K26" s="10">
        <f>AVERAGE(Table1[[#This Row],[MONTHLY (QUARTERLY) GROWTH RATE]])</f>
        <v>4.5888564367557616E-2</v>
      </c>
      <c r="L26" s="21">
        <f t="shared" si="6"/>
        <v>48038.707649966294</v>
      </c>
    </row>
    <row r="27" spans="1:12" x14ac:dyDescent="0.25">
      <c r="A27" s="1" t="s">
        <v>16</v>
      </c>
      <c r="B27" s="14">
        <v>69.464285714285595</v>
      </c>
      <c r="C27" s="14">
        <v>69.321428571428399</v>
      </c>
      <c r="D27" s="18">
        <v>82.892857142856698</v>
      </c>
      <c r="E27" s="6">
        <f t="shared" si="0"/>
        <v>46023</v>
      </c>
      <c r="F27" s="23">
        <f t="shared" si="1"/>
        <v>221.67857142857071</v>
      </c>
      <c r="G27" s="10">
        <f t="shared" si="4"/>
        <v>0.31335588851296969</v>
      </c>
      <c r="H27" s="10">
        <f t="shared" si="5"/>
        <v>0.31271145480908674</v>
      </c>
      <c r="I27" s="10">
        <f t="shared" si="2"/>
        <v>0.37393265667794345</v>
      </c>
      <c r="J27" s="12">
        <f>(F27- F28) / F27</f>
        <v>4.3875194672678086E-2</v>
      </c>
      <c r="K27" s="10">
        <f>AVERAGE(Table1[[#This Row],[MONTHLY (QUARTERLY) GROWTH RATE]])</f>
        <v>4.3875194672678086E-2</v>
      </c>
      <c r="L27" s="21">
        <f t="shared" si="6"/>
        <v>48042.268084420662</v>
      </c>
    </row>
    <row r="28" spans="1:12" x14ac:dyDescent="0.25">
      <c r="A28" s="1" t="s">
        <v>12</v>
      </c>
      <c r="B28" s="14">
        <v>66.059523809523796</v>
      </c>
      <c r="C28" s="14">
        <v>67.547619047619094</v>
      </c>
      <c r="D28" s="18">
        <v>78.345238095238102</v>
      </c>
      <c r="E28" s="6">
        <f t="shared" si="0"/>
        <v>45658</v>
      </c>
      <c r="F28" s="23">
        <f t="shared" si="1"/>
        <v>211.95238095238099</v>
      </c>
      <c r="G28" s="10">
        <f t="shared" si="4"/>
        <v>0.3116715344866321</v>
      </c>
      <c r="H28" s="10">
        <f t="shared" si="5"/>
        <v>0.3186924286677153</v>
      </c>
      <c r="I28" s="10">
        <f t="shared" si="2"/>
        <v>0.3696360368456526</v>
      </c>
      <c r="J28" s="12">
        <f t="shared" ref="J28:J33" si="8">(F29 - F28) / F28</f>
        <v>4.588856436755747E-2</v>
      </c>
      <c r="K28" s="10">
        <f>AVERAGE(Table1[[#This Row],[MONTHLY (QUARTERLY) GROWTH RATE]])</f>
        <v>4.588856436755747E-2</v>
      </c>
      <c r="L28" s="21">
        <f t="shared" si="6"/>
        <v>47753.180071893941</v>
      </c>
    </row>
    <row r="29" spans="1:12" x14ac:dyDescent="0.25">
      <c r="A29" s="1" t="s">
        <v>13</v>
      </c>
      <c r="B29" s="14">
        <v>69.464285714285694</v>
      </c>
      <c r="C29" s="14">
        <v>69.321428571428598</v>
      </c>
      <c r="D29" s="18">
        <v>82.892857142857096</v>
      </c>
      <c r="E29" s="6">
        <f t="shared" si="0"/>
        <v>45748</v>
      </c>
      <c r="F29" s="23">
        <f t="shared" si="1"/>
        <v>221.67857142857139</v>
      </c>
      <c r="G29" s="10">
        <f t="shared" si="4"/>
        <v>0.31335588851296919</v>
      </c>
      <c r="H29" s="10">
        <f t="shared" si="5"/>
        <v>0.31271145480908669</v>
      </c>
      <c r="I29" s="10">
        <f t="shared" si="2"/>
        <v>0.37393265667794412</v>
      </c>
      <c r="J29" s="12">
        <f t="shared" si="8"/>
        <v>4.3875194672681674E-2</v>
      </c>
      <c r="K29" s="10">
        <f>AVERAGE(Table1[[#This Row],[MONTHLY (QUARTERLY) GROWTH RATE]])</f>
        <v>4.3875194672681674E-2</v>
      </c>
      <c r="L29" s="21">
        <f t="shared" si="6"/>
        <v>47755.202405885837</v>
      </c>
    </row>
    <row r="30" spans="1:12" x14ac:dyDescent="0.25">
      <c r="A30" s="1" t="s">
        <v>14</v>
      </c>
      <c r="B30" s="14">
        <v>72.869047619047606</v>
      </c>
      <c r="C30" s="14">
        <v>71.095238095238102</v>
      </c>
      <c r="D30" s="18">
        <v>87.440476190476204</v>
      </c>
      <c r="E30" s="6">
        <f t="shared" si="0"/>
        <v>45839</v>
      </c>
      <c r="F30" s="23">
        <f t="shared" si="1"/>
        <v>231.40476190476193</v>
      </c>
      <c r="G30" s="10">
        <f t="shared" si="4"/>
        <v>0.31489865212470408</v>
      </c>
      <c r="H30" s="10">
        <f t="shared" si="5"/>
        <v>0.30723325445004629</v>
      </c>
      <c r="I30" s="10">
        <f t="shared" si="2"/>
        <v>0.37786809342524952</v>
      </c>
      <c r="J30" s="12">
        <f t="shared" si="8"/>
        <v>4.2031073155673983E-2</v>
      </c>
      <c r="K30" s="10">
        <f>AVERAGE(Table1[[#This Row],[MONTHLY (QUARTERLY) GROWTH RATE]])</f>
        <v>4.2031073155673983E-2</v>
      </c>
      <c r="L30" s="21">
        <f t="shared" si="6"/>
        <v>47765.662362382936</v>
      </c>
    </row>
    <row r="31" spans="1:12" x14ac:dyDescent="0.25">
      <c r="A31" s="1" t="s">
        <v>15</v>
      </c>
      <c r="B31" s="14">
        <v>76.273809523809504</v>
      </c>
      <c r="C31" s="14">
        <v>72.869047619047606</v>
      </c>
      <c r="D31" s="18">
        <v>91.988095238095198</v>
      </c>
      <c r="E31" s="6">
        <f t="shared" si="0"/>
        <v>45931</v>
      </c>
      <c r="F31" s="23">
        <f t="shared" si="1"/>
        <v>241.13095238095229</v>
      </c>
      <c r="G31" s="10">
        <f t="shared" si="4"/>
        <v>0.316316958775611</v>
      </c>
      <c r="H31" s="10">
        <f t="shared" si="5"/>
        <v>0.30219698839792647</v>
      </c>
      <c r="I31" s="10">
        <f t="shared" si="2"/>
        <v>0.38148605282646258</v>
      </c>
      <c r="J31" s="12">
        <f t="shared" si="8"/>
        <v>4.0335719575414104E-2</v>
      </c>
      <c r="K31" s="10">
        <f>AVERAGE(Table1[[#This Row],[MONTHLY (QUARTERLY) GROWTH RATE]])</f>
        <v>4.0335719575414104E-2</v>
      </c>
      <c r="L31" s="21">
        <f t="shared" si="6"/>
        <v>47783.659935818345</v>
      </c>
    </row>
    <row r="32" spans="1:12" x14ac:dyDescent="0.25">
      <c r="A32" s="1" t="s">
        <v>16</v>
      </c>
      <c r="B32" s="14">
        <v>79.678571428571402</v>
      </c>
      <c r="C32" s="14">
        <v>74.642857142857196</v>
      </c>
      <c r="D32" s="18">
        <v>96.535714285714306</v>
      </c>
      <c r="E32" s="6">
        <f t="shared" si="0"/>
        <v>46023</v>
      </c>
      <c r="F32" s="23">
        <f t="shared" si="1"/>
        <v>250.85714285714292</v>
      </c>
      <c r="G32" s="10">
        <f t="shared" si="4"/>
        <v>0.3176252847380408</v>
      </c>
      <c r="H32" s="24">
        <f t="shared" si="5"/>
        <v>0.29755125284738054</v>
      </c>
      <c r="I32" s="10">
        <f t="shared" si="2"/>
        <v>0.3848234624145786</v>
      </c>
      <c r="J32" s="12">
        <f t="shared" si="8"/>
        <v>3.8771829916475382E-2</v>
      </c>
      <c r="K32" s="10">
        <f>AVERAGE(Table1[[#This Row],[MONTHLY (QUARTERLY) GROWTH RATE]])</f>
        <v>3.8771829916475382E-2</v>
      </c>
      <c r="L32" s="21">
        <f t="shared" si="6"/>
        <v>47807.395928245947</v>
      </c>
    </row>
    <row r="33" spans="1:12" x14ac:dyDescent="0.25">
      <c r="A33" s="1" t="s">
        <v>17</v>
      </c>
      <c r="B33" s="14">
        <v>83.0833333333333</v>
      </c>
      <c r="C33" s="14">
        <v>76.4166666666667</v>
      </c>
      <c r="D33" s="18">
        <v>101.083333333333</v>
      </c>
      <c r="E33" s="6">
        <f t="shared" si="0"/>
        <v>46113</v>
      </c>
      <c r="F33" s="23">
        <f t="shared" si="1"/>
        <v>260.58333333333303</v>
      </c>
      <c r="G33" s="10">
        <f t="shared" si="4"/>
        <v>0.31883594499520329</v>
      </c>
      <c r="H33" s="10">
        <f t="shared" si="5"/>
        <v>0.29325231851615013</v>
      </c>
      <c r="I33" s="10">
        <f t="shared" si="2"/>
        <v>0.38791173648864646</v>
      </c>
      <c r="J33" s="12">
        <f t="shared" si="8"/>
        <v>3.7324683631047184E-2</v>
      </c>
      <c r="K33" s="10">
        <f>AVERAGE(Table1[[#This Row],[MONTHLY (QUARTERLY) GROWTH RATE]])</f>
        <v>3.7324683631047184E-2</v>
      </c>
      <c r="L33" s="21">
        <f t="shared" si="6"/>
        <v>47834.153136278481</v>
      </c>
    </row>
    <row r="34" spans="1:12" x14ac:dyDescent="0.25">
      <c r="A34" s="3" t="s">
        <v>18</v>
      </c>
      <c r="B34" s="15">
        <v>86.488095238095198</v>
      </c>
      <c r="C34" s="15">
        <v>78.190476190476204</v>
      </c>
      <c r="D34" s="19">
        <v>105.630952380952</v>
      </c>
      <c r="E34" s="6">
        <f t="shared" si="0"/>
        <v>46204</v>
      </c>
      <c r="F34" s="23">
        <f t="shared" si="1"/>
        <v>270.3095238095234</v>
      </c>
      <c r="G34" s="10">
        <f t="shared" si="4"/>
        <v>0.31995948207522273</v>
      </c>
      <c r="H34" s="10">
        <f t="shared" si="5"/>
        <v>0.28926274993393863</v>
      </c>
      <c r="I34" s="10">
        <f t="shared" si="2"/>
        <v>0.39077776799083858</v>
      </c>
      <c r="J34" s="12">
        <f>(F34- F33) / F34</f>
        <v>3.5981678851404568E-2</v>
      </c>
      <c r="K34" s="10">
        <f>AVERAGE(Table1[[#This Row],[MONTHLY (QUARTERLY) GROWTH RATE]])</f>
        <v>3.5981678851404568E-2</v>
      </c>
      <c r="L34" s="21">
        <f t="shared" si="6"/>
        <v>47866.49748965029</v>
      </c>
    </row>
    <row r="35" spans="1:12" x14ac:dyDescent="0.25">
      <c r="A35" s="3"/>
      <c r="B35" s="15"/>
      <c r="C35" s="15"/>
      <c r="D35" s="1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8"/>
  <sheetViews>
    <sheetView workbookViewId="0">
      <selection activeCell="O12" sqref="O12"/>
    </sheetView>
  </sheetViews>
  <sheetFormatPr defaultRowHeight="15" x14ac:dyDescent="0.25"/>
  <cols>
    <col min="1" max="1" width="12.42578125" bestFit="1" customWidth="1"/>
    <col min="2" max="2" width="18.85546875" bestFit="1" customWidth="1"/>
    <col min="3" max="3" width="19.85546875" bestFit="1" customWidth="1"/>
    <col min="4" max="4" width="14.5703125" bestFit="1" customWidth="1"/>
    <col min="5" max="5" width="16.28515625" bestFit="1" customWidth="1"/>
    <col min="7" max="7" width="18" customWidth="1"/>
  </cols>
  <sheetData>
    <row r="3" spans="3:7" x14ac:dyDescent="0.25">
      <c r="C3" s="4" t="s">
        <v>19</v>
      </c>
      <c r="D3" t="s">
        <v>28</v>
      </c>
      <c r="E3" t="s">
        <v>34</v>
      </c>
      <c r="F3" t="s">
        <v>35</v>
      </c>
      <c r="G3" t="s">
        <v>36</v>
      </c>
    </row>
    <row r="4" spans="3:7" x14ac:dyDescent="0.25">
      <c r="C4" s="5" t="s">
        <v>29</v>
      </c>
      <c r="D4" s="8">
        <v>283</v>
      </c>
      <c r="E4" s="8">
        <v>0.93622525318725347</v>
      </c>
      <c r="F4" s="8">
        <v>2.3722398776622273</v>
      </c>
      <c r="G4" s="8">
        <v>0.69153486915051909</v>
      </c>
    </row>
    <row r="5" spans="3:7" x14ac:dyDescent="0.25">
      <c r="C5" s="5" t="s">
        <v>30</v>
      </c>
      <c r="D5" s="8">
        <v>1629.8571428571427</v>
      </c>
      <c r="E5" s="8">
        <v>3.4575284153010011</v>
      </c>
      <c r="F5" s="8">
        <v>4.828686912944554</v>
      </c>
      <c r="G5" s="8">
        <v>3.7137846717544445</v>
      </c>
    </row>
    <row r="6" spans="3:7" x14ac:dyDescent="0.25">
      <c r="C6" s="5" t="s">
        <v>31</v>
      </c>
      <c r="D6" s="8">
        <v>2619.2142857142835</v>
      </c>
      <c r="E6" s="8">
        <v>4.0203165390294888</v>
      </c>
      <c r="F6" s="8">
        <v>4.2545474691345841</v>
      </c>
      <c r="G6" s="8">
        <v>4.7251359918359261</v>
      </c>
    </row>
    <row r="7" spans="3:7" x14ac:dyDescent="0.25">
      <c r="C7" s="5" t="s">
        <v>32</v>
      </c>
      <c r="D7" s="8">
        <v>1003.4285714285701</v>
      </c>
      <c r="E7" s="8">
        <v>1.2697766003214364</v>
      </c>
      <c r="F7" s="8">
        <v>1.1927777761065561</v>
      </c>
      <c r="G7" s="8">
        <v>1.5374456235720071</v>
      </c>
    </row>
    <row r="8" spans="3:7" x14ac:dyDescent="0.25">
      <c r="C8" s="5" t="s">
        <v>20</v>
      </c>
      <c r="D8" s="8">
        <v>5535.4999999999955</v>
      </c>
      <c r="E8" s="8">
        <v>9.6838468078391777</v>
      </c>
      <c r="F8" s="8">
        <v>12.648252035847921</v>
      </c>
      <c r="G8" s="8">
        <v>10.667901156312896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"/>
  <sheetViews>
    <sheetView tabSelected="1" workbookViewId="0">
      <selection activeCell="K15" sqref="K15"/>
    </sheetView>
  </sheetViews>
  <sheetFormatPr defaultRowHeight="15" x14ac:dyDescent="0.25"/>
  <cols>
    <col min="2" max="2" width="21.140625" bestFit="1" customWidth="1"/>
    <col min="3" max="3" width="15.42578125" customWidth="1"/>
    <col min="4" max="5" width="17.28515625" bestFit="1" customWidth="1"/>
  </cols>
  <sheetData>
    <row r="1" spans="2:4" x14ac:dyDescent="0.25">
      <c r="B1" t="s">
        <v>37</v>
      </c>
    </row>
    <row r="3" spans="2:4" x14ac:dyDescent="0.25">
      <c r="B3" t="s">
        <v>34</v>
      </c>
      <c r="C3" t="s">
        <v>35</v>
      </c>
      <c r="D3" t="s">
        <v>36</v>
      </c>
    </row>
    <row r="4" spans="2:4" x14ac:dyDescent="0.25">
      <c r="B4" s="8">
        <v>9.6838468078391795</v>
      </c>
      <c r="C4" s="8">
        <v>12.648252035847921</v>
      </c>
      <c r="D4" s="8">
        <v>10.667901156312896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Data</vt:lpstr>
      <vt:lpstr>Pivot Chart &amp; Table</vt:lpstr>
      <vt:lpstr>PLATFORM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Panchal</dc:creator>
  <cp:lastModifiedBy>Shubham Panchal</cp:lastModifiedBy>
  <dcterms:created xsi:type="dcterms:W3CDTF">2026-02-19T07:16:08Z</dcterms:created>
  <dcterms:modified xsi:type="dcterms:W3CDTF">2026-02-25T07:05:59Z</dcterms:modified>
</cp:coreProperties>
</file>